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esktop\"/>
    </mc:Choice>
  </mc:AlternateContent>
  <xr:revisionPtr revIDLastSave="0" documentId="13_ncr:1_{FB5E6117-338F-4AEF-81FA-6BBDC6483620}" xr6:coauthVersionLast="47" xr6:coauthVersionMax="47" xr10:uidLastSave="{00000000-0000-0000-0000-000000000000}"/>
  <bookViews>
    <workbookView xWindow="-108" yWindow="-108" windowWidth="23256" windowHeight="12456" xr2:uid="{BEA60A56-5D85-466B-94D9-91705657C3E2}"/>
  </bookViews>
  <sheets>
    <sheet name="COMPRAS 2026" sheetId="11" r:id="rId1"/>
    <sheet name="OLEOS VEGETAIS" sheetId="12" r:id="rId2"/>
    <sheet name="ADITIVOS FILTROS E LUBRIF" sheetId="3" r:id="rId3"/>
    <sheet name="CORREIAS-BATERIAS" sheetId="5" r:id="rId4"/>
    <sheet name="FILTROS EM ESTOQUE" sheetId="10" r:id="rId5"/>
    <sheet name="DIESEL" sheetId="7" r:id="rId6"/>
    <sheet name="G28-CSUL" sheetId="9" r:id="rId7"/>
    <sheet name="CONSTRUÇÃO" sheetId="6" r:id="rId8"/>
    <sheet name="HIDRAULICOS-PVC" sheetId="4" r:id="rId9"/>
    <sheet name="TELHAS E PERFILS" sheetId="2" r:id="rId10"/>
    <sheet name="Planilha1" sheetId="1" r:id="rId11"/>
    <sheet name="Planilha2" sheetId="8" r:id="rId12"/>
    <sheet name="Planilha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36" i="11" l="1"/>
  <c r="C2535" i="11"/>
  <c r="D2524" i="11"/>
  <c r="D2523" i="11"/>
  <c r="C2524" i="11"/>
  <c r="C2523" i="11"/>
  <c r="C2342" i="11"/>
  <c r="C2340" i="11"/>
  <c r="C2339" i="11"/>
  <c r="C2338" i="11"/>
  <c r="C2337" i="11"/>
  <c r="C2520" i="11"/>
  <c r="D2470" i="11"/>
  <c r="C2470" i="11"/>
  <c r="E2481" i="11"/>
  <c r="D2481" i="11"/>
  <c r="C2483" i="11"/>
  <c r="C2482" i="11"/>
  <c r="C2481" i="11"/>
  <c r="E2477" i="11"/>
  <c r="D2477" i="11"/>
  <c r="C2477" i="11"/>
  <c r="E2474" i="11"/>
  <c r="D2474" i="11"/>
  <c r="C2474" i="11"/>
  <c r="C2473" i="11"/>
  <c r="E2473" i="11"/>
  <c r="D2473" i="11"/>
  <c r="E2471" i="11"/>
  <c r="D2471" i="11"/>
  <c r="C2471" i="11"/>
  <c r="E2470" i="11"/>
  <c r="E2468" i="11"/>
  <c r="D2468" i="11"/>
  <c r="C2468" i="11"/>
  <c r="E2467" i="11"/>
  <c r="D2467" i="11"/>
  <c r="C2467" i="11"/>
  <c r="E2466" i="11"/>
  <c r="C2466" i="11"/>
  <c r="E2465" i="11"/>
  <c r="D2465" i="11"/>
  <c r="C2465" i="11"/>
  <c r="E2464" i="11"/>
  <c r="D2464" i="11"/>
  <c r="C2464" i="11"/>
  <c r="E2462" i="11"/>
  <c r="D2462" i="11"/>
  <c r="C2462" i="11"/>
  <c r="E2461" i="11"/>
  <c r="D2461" i="11"/>
  <c r="C2461" i="11"/>
  <c r="E2454" i="11"/>
  <c r="D2454" i="11"/>
  <c r="C2454" i="11"/>
  <c r="E2452" i="11"/>
  <c r="D2452" i="11"/>
  <c r="C2452" i="11"/>
  <c r="E2451" i="11"/>
  <c r="D2451" i="11"/>
  <c r="C2451" i="11"/>
  <c r="E2450" i="11"/>
  <c r="D2450" i="11"/>
  <c r="C2450" i="11"/>
  <c r="E2448" i="11"/>
  <c r="E2486" i="11" s="1"/>
  <c r="D2448" i="11"/>
  <c r="D2486" i="11" s="1"/>
  <c r="C2448" i="11"/>
  <c r="B2503" i="11"/>
  <c r="B2504" i="11"/>
  <c r="C2425" i="11"/>
  <c r="D2434" i="11"/>
  <c r="C2424" i="11"/>
  <c r="C2423" i="11"/>
  <c r="C2422" i="11"/>
  <c r="C2421" i="11"/>
  <c r="C2420" i="11"/>
  <c r="C2419" i="11"/>
  <c r="C2418" i="11"/>
  <c r="D2438" i="11"/>
  <c r="D2497" i="11"/>
  <c r="C2434" i="11"/>
  <c r="D2382" i="11"/>
  <c r="C2382" i="11"/>
  <c r="C2403" i="11"/>
  <c r="D2400" i="11"/>
  <c r="D2398" i="11"/>
  <c r="D2392" i="11"/>
  <c r="D2403" i="11" s="1"/>
  <c r="B2365" i="11"/>
  <c r="B2372" i="11" s="1"/>
  <c r="C2353" i="11"/>
  <c r="C2329" i="11"/>
  <c r="F2292" i="11"/>
  <c r="F2295" i="11"/>
  <c r="E2295" i="11"/>
  <c r="C2295" i="11"/>
  <c r="D2292" i="11"/>
  <c r="D2295" i="11" s="1"/>
  <c r="C2273" i="11"/>
  <c r="C2274" i="11" s="1"/>
  <c r="D2224" i="11"/>
  <c r="D2226" i="11" s="1"/>
  <c r="F2224" i="11"/>
  <c r="C2166" i="11"/>
  <c r="B2166" i="11"/>
  <c r="B2213" i="11"/>
  <c r="D2210" i="11"/>
  <c r="D2180" i="11"/>
  <c r="D2179" i="11"/>
  <c r="D2178" i="11"/>
  <c r="D2177" i="11"/>
  <c r="D2176" i="11"/>
  <c r="D2175" i="11"/>
  <c r="D2192" i="11"/>
  <c r="C2192" i="11"/>
  <c r="B2192" i="11"/>
  <c r="E2192" i="11"/>
  <c r="D2148" i="11"/>
  <c r="C2148" i="11"/>
  <c r="B2148" i="11"/>
  <c r="D2142" i="11"/>
  <c r="B2142" i="11"/>
  <c r="B2115" i="11"/>
  <c r="C2073" i="11"/>
  <c r="C2074" i="11"/>
  <c r="C1821" i="11"/>
  <c r="C2080" i="11"/>
  <c r="C2079" i="11"/>
  <c r="C2078" i="11"/>
  <c r="C2077" i="11"/>
  <c r="H2000" i="11"/>
  <c r="H2003" i="11" s="1"/>
  <c r="C2048" i="11"/>
  <c r="C1995" i="11"/>
  <c r="C2000" i="11" s="1"/>
  <c r="D1995" i="11"/>
  <c r="D2000" i="11" s="1"/>
  <c r="G2000" i="11"/>
  <c r="F2000" i="11"/>
  <c r="E2000" i="11"/>
  <c r="B1986" i="11"/>
  <c r="G1981" i="11"/>
  <c r="B1929" i="11"/>
  <c r="B1880" i="11"/>
  <c r="G1916" i="11"/>
  <c r="F1916" i="11"/>
  <c r="E1916" i="11"/>
  <c r="C1915" i="11"/>
  <c r="D1915" i="11" s="1"/>
  <c r="C1914" i="11"/>
  <c r="C1913" i="11"/>
  <c r="D1913" i="11" s="1"/>
  <c r="C1912" i="11"/>
  <c r="D1912" i="11" s="1"/>
  <c r="C1676" i="11"/>
  <c r="C1897" i="11"/>
  <c r="C1906" i="11" s="1"/>
  <c r="D1897" i="11"/>
  <c r="D1906" i="11" s="1"/>
  <c r="D1883" i="11"/>
  <c r="D1886" i="11"/>
  <c r="D1885" i="11"/>
  <c r="B1845" i="11"/>
  <c r="C1851" i="11"/>
  <c r="B1851" i="11"/>
  <c r="C1840" i="11"/>
  <c r="F1730" i="11"/>
  <c r="C1826" i="11"/>
  <c r="B1826" i="11"/>
  <c r="C1806" i="11"/>
  <c r="E1806" i="11"/>
  <c r="D1797" i="11"/>
  <c r="D1792" i="11"/>
  <c r="C1789" i="11"/>
  <c r="C1753" i="11"/>
  <c r="B1737" i="11"/>
  <c r="C1762" i="11"/>
  <c r="C1760" i="11"/>
  <c r="C1759" i="11"/>
  <c r="C1757" i="11"/>
  <c r="C1756" i="11"/>
  <c r="C1755" i="11"/>
  <c r="C1754" i="11"/>
  <c r="E1744" i="11"/>
  <c r="B1733" i="11"/>
  <c r="D1744" i="11"/>
  <c r="C1744" i="11"/>
  <c r="B1736" i="11"/>
  <c r="B1735" i="11"/>
  <c r="B1734" i="11"/>
  <c r="E1749" i="11"/>
  <c r="F1748" i="11"/>
  <c r="F1747" i="11"/>
  <c r="F1749" i="11" s="1"/>
  <c r="G1762" i="11"/>
  <c r="D1749" i="11"/>
  <c r="C1749" i="11"/>
  <c r="D1730" i="11"/>
  <c r="C1730" i="11"/>
  <c r="B1730" i="11"/>
  <c r="F1661" i="11"/>
  <c r="E1660" i="11"/>
  <c r="E1659" i="11"/>
  <c r="D1661" i="11"/>
  <c r="C1677" i="11"/>
  <c r="C1675" i="11"/>
  <c r="C1674" i="11"/>
  <c r="C1661" i="11"/>
  <c r="B1661" i="11"/>
  <c r="D1639" i="11"/>
  <c r="D1635" i="11"/>
  <c r="D1634" i="11"/>
  <c r="E1615" i="11"/>
  <c r="D1615" i="11"/>
  <c r="C1615" i="11"/>
  <c r="B1615" i="11"/>
  <c r="C1607" i="11"/>
  <c r="F1601" i="11"/>
  <c r="E1601" i="11"/>
  <c r="D1601" i="11"/>
  <c r="C1601" i="11"/>
  <c r="C1596" i="11"/>
  <c r="B1596" i="11"/>
  <c r="D1579" i="11"/>
  <c r="D1578" i="11"/>
  <c r="E1574" i="11"/>
  <c r="D1574" i="11"/>
  <c r="C1579" i="11"/>
  <c r="C1578" i="11"/>
  <c r="E1580" i="11"/>
  <c r="F1546" i="11"/>
  <c r="F1550" i="11" s="1"/>
  <c r="C1574" i="11"/>
  <c r="F1567" i="11"/>
  <c r="C1550" i="11"/>
  <c r="D1550" i="11"/>
  <c r="E1550" i="11"/>
  <c r="C1539" i="11"/>
  <c r="D1538" i="11"/>
  <c r="D1520" i="11"/>
  <c r="D1511" i="11"/>
  <c r="C1511" i="11"/>
  <c r="B1511" i="11"/>
  <c r="E1511" i="11"/>
  <c r="D1451" i="11"/>
  <c r="D1452" i="11"/>
  <c r="E1439" i="11"/>
  <c r="D1432" i="11"/>
  <c r="D1448" i="11"/>
  <c r="C1444" i="11"/>
  <c r="C1445" i="11"/>
  <c r="D1411" i="11"/>
  <c r="C1411" i="11"/>
  <c r="B1411" i="11"/>
  <c r="D1408" i="11"/>
  <c r="D1406" i="11"/>
  <c r="D1405" i="11"/>
  <c r="D1407" i="11"/>
  <c r="G1336" i="11"/>
  <c r="G1335" i="11"/>
  <c r="G1334" i="11"/>
  <c r="G1333" i="11"/>
  <c r="G1332" i="11"/>
  <c r="G1331" i="11"/>
  <c r="G1330" i="11"/>
  <c r="G1329" i="11"/>
  <c r="G1327" i="11"/>
  <c r="C1340" i="11"/>
  <c r="D1307" i="11"/>
  <c r="C1307" i="11"/>
  <c r="C1294" i="11"/>
  <c r="C1275" i="11"/>
  <c r="C1278" i="11"/>
  <c r="C1266" i="11"/>
  <c r="D1265" i="11"/>
  <c r="D1264" i="11"/>
  <c r="D1262" i="11"/>
  <c r="D1263" i="11"/>
  <c r="D1206" i="11"/>
  <c r="C1231" i="11"/>
  <c r="C1235" i="11" s="1"/>
  <c r="B1227" i="11"/>
  <c r="B1195" i="11"/>
  <c r="D1182" i="11"/>
  <c r="D1190" i="11" s="1"/>
  <c r="C1190" i="11"/>
  <c r="C1175" i="11"/>
  <c r="C1178" i="11"/>
  <c r="C1177" i="11"/>
  <c r="C1176" i="11"/>
  <c r="F1155" i="11"/>
  <c r="E1155" i="11"/>
  <c r="D1155" i="11"/>
  <c r="C1155" i="11"/>
  <c r="G1142" i="11"/>
  <c r="C1149" i="11"/>
  <c r="D1149" i="11"/>
  <c r="F1142" i="11"/>
  <c r="D1142" i="11"/>
  <c r="E1142" i="11"/>
  <c r="C1142" i="11"/>
  <c r="C1086" i="11"/>
  <c r="C1106" i="11" s="1"/>
  <c r="D1106" i="11"/>
  <c r="C1128" i="11"/>
  <c r="G1075" i="11"/>
  <c r="F1075" i="11"/>
  <c r="B1075" i="11"/>
  <c r="C1074" i="11"/>
  <c r="I1074" i="11" s="1"/>
  <c r="G1073" i="11"/>
  <c r="D1073" i="11"/>
  <c r="I1072" i="11"/>
  <c r="C1071" i="11"/>
  <c r="I1071" i="11" s="1"/>
  <c r="I1070" i="11"/>
  <c r="F1069" i="11"/>
  <c r="I1069" i="11" s="1"/>
  <c r="I1068" i="11"/>
  <c r="I1067" i="11"/>
  <c r="E2434" i="11" l="1"/>
  <c r="C2486" i="11"/>
  <c r="E1661" i="11"/>
  <c r="D1916" i="11"/>
  <c r="D1580" i="11"/>
  <c r="B1744" i="11"/>
  <c r="C1763" i="11"/>
  <c r="D1636" i="11"/>
  <c r="F1574" i="11"/>
  <c r="C1580" i="11"/>
  <c r="D1539" i="11"/>
  <c r="C1448" i="11"/>
  <c r="G1345" i="11"/>
  <c r="I1073" i="11"/>
  <c r="I1075" i="11"/>
  <c r="E1063" i="11"/>
  <c r="D1010" i="11"/>
  <c r="I1012" i="11"/>
  <c r="C1063" i="11"/>
  <c r="B1063" i="11"/>
  <c r="D1063" i="11"/>
  <c r="G1010" i="11"/>
  <c r="C1007" i="11"/>
  <c r="I1007" i="11" s="1"/>
  <c r="I1006" i="11"/>
  <c r="C1005" i="11"/>
  <c r="I1005" i="11" s="1"/>
  <c r="F1040" i="11"/>
  <c r="F1039" i="11"/>
  <c r="F1038" i="11"/>
  <c r="F1037" i="11"/>
  <c r="B1047" i="11"/>
  <c r="E1041" i="11"/>
  <c r="D1041" i="11"/>
  <c r="C1041" i="11"/>
  <c r="G1013" i="11"/>
  <c r="I1011" i="11"/>
  <c r="F1009" i="11"/>
  <c r="I1009" i="11" s="1"/>
  <c r="C1030" i="11"/>
  <c r="I1008" i="11"/>
  <c r="F1013" i="11"/>
  <c r="B1013" i="11"/>
  <c r="F1019" i="11"/>
  <c r="E1019" i="11"/>
  <c r="D1019" i="11"/>
  <c r="C1019" i="11"/>
  <c r="C994" i="11"/>
  <c r="I1010" i="11" l="1"/>
  <c r="F1041" i="11"/>
  <c r="I1013" i="11"/>
  <c r="F992" i="11"/>
  <c r="F994" i="11" s="1"/>
  <c r="E994" i="11"/>
  <c r="D994" i="11"/>
  <c r="G971" i="11"/>
  <c r="D971" i="11"/>
  <c r="E971" i="11"/>
  <c r="F971" i="11"/>
  <c r="C971" i="11"/>
  <c r="E929" i="11"/>
  <c r="C929" i="11"/>
  <c r="B962" i="11" l="1"/>
  <c r="D946" i="11"/>
  <c r="C946" i="11"/>
  <c r="B946" i="11"/>
  <c r="B940" i="11"/>
  <c r="B934" i="11"/>
  <c r="D900" i="11"/>
  <c r="C900" i="11"/>
  <c r="B900" i="11"/>
  <c r="F887" i="11" l="1"/>
  <c r="F888" i="11" s="1"/>
  <c r="C891" i="11"/>
  <c r="F827" i="11" l="1"/>
  <c r="B887" i="11"/>
  <c r="B888" i="11" s="1"/>
  <c r="C887" i="11"/>
  <c r="C888" i="11" s="1"/>
  <c r="F871" i="11"/>
  <c r="F873" i="11" s="1"/>
  <c r="C873" i="11"/>
  <c r="E871" i="11"/>
  <c r="E873" i="11" s="1"/>
  <c r="D873" i="11"/>
  <c r="H816" i="11"/>
  <c r="H807" i="11"/>
  <c r="B788" i="11"/>
  <c r="B850" i="11"/>
  <c r="C850" i="11"/>
  <c r="C843" i="11"/>
  <c r="B840" i="11"/>
  <c r="C823" i="11"/>
  <c r="C818" i="11"/>
  <c r="D809" i="11"/>
  <c r="C809" i="11"/>
  <c r="D606" i="11"/>
  <c r="D605" i="11"/>
  <c r="D788" i="11"/>
  <c r="B800" i="11"/>
  <c r="E776" i="11"/>
  <c r="D776" i="11"/>
  <c r="C776" i="11"/>
  <c r="F775" i="11"/>
  <c r="F774" i="11"/>
  <c r="F773" i="11"/>
  <c r="F772" i="11"/>
  <c r="C736" i="11"/>
  <c r="D742" i="11"/>
  <c r="D741" i="11"/>
  <c r="D740" i="11"/>
  <c r="D739" i="11"/>
  <c r="E736" i="11"/>
  <c r="F574" i="11"/>
  <c r="F573" i="11"/>
  <c r="F572" i="11"/>
  <c r="F571" i="11"/>
  <c r="D736" i="11"/>
  <c r="E713" i="11"/>
  <c r="F709" i="11"/>
  <c r="E709" i="11"/>
  <c r="C707" i="11"/>
  <c r="C709" i="11" s="1"/>
  <c r="D708" i="11"/>
  <c r="D707" i="11"/>
  <c r="C698" i="11"/>
  <c r="B671" i="11"/>
  <c r="H818" i="11" l="1"/>
  <c r="F776" i="11"/>
  <c r="F575" i="11"/>
  <c r="D709" i="11"/>
  <c r="F3" i="13"/>
  <c r="B654" i="11"/>
  <c r="D617" i="11"/>
  <c r="D616" i="11"/>
  <c r="B620" i="11"/>
  <c r="D620" i="11" s="1"/>
  <c r="B618" i="11"/>
  <c r="D618" i="11" s="1"/>
  <c r="B656" i="11"/>
  <c r="B619" i="11"/>
  <c r="D619" i="11" s="1"/>
  <c r="B641" i="11"/>
  <c r="B631" i="11"/>
  <c r="C631" i="11"/>
  <c r="D631" i="11"/>
  <c r="C612" i="11"/>
  <c r="H581" i="11"/>
  <c r="H582" i="11" s="1"/>
  <c r="E575" i="11"/>
  <c r="C575" i="11"/>
  <c r="D575" i="11"/>
  <c r="B556" i="11"/>
  <c r="B466" i="11"/>
  <c r="D459" i="11"/>
  <c r="D458" i="11"/>
  <c r="D434" i="11"/>
  <c r="B422" i="11"/>
  <c r="C430" i="11"/>
  <c r="D400" i="11"/>
  <c r="C400" i="11"/>
  <c r="B400" i="11"/>
  <c r="E400" i="11"/>
  <c r="D393" i="11"/>
  <c r="C393" i="11"/>
  <c r="B393" i="11"/>
  <c r="F407" i="11"/>
  <c r="C407" i="11"/>
  <c r="E407" i="11"/>
  <c r="B384" i="11"/>
  <c r="C357" i="11" l="1"/>
  <c r="E357" i="11"/>
  <c r="B357" i="11"/>
  <c r="F342" i="11"/>
  <c r="G341" i="11"/>
  <c r="F341" i="11"/>
  <c r="E304" i="11"/>
  <c r="H130" i="3"/>
  <c r="G130" i="3"/>
  <c r="F130" i="3"/>
  <c r="E130" i="3"/>
  <c r="C130" i="3"/>
  <c r="G117" i="3"/>
  <c r="F117" i="3"/>
  <c r="D117" i="3"/>
  <c r="C117" i="3"/>
  <c r="B310" i="11"/>
  <c r="B297" i="11"/>
  <c r="H264" i="11"/>
  <c r="D264" i="11"/>
  <c r="E264" i="11"/>
  <c r="G264" i="11"/>
  <c r="D271" i="11"/>
  <c r="C264" i="11"/>
  <c r="E271" i="11"/>
  <c r="C271" i="11"/>
  <c r="F239" i="11"/>
  <c r="B235" i="11"/>
  <c r="B220" i="11"/>
  <c r="B204" i="11"/>
  <c r="F345" i="11" l="1"/>
  <c r="D201" i="11"/>
  <c r="C163" i="11"/>
  <c r="C197" i="11"/>
  <c r="E197" i="11"/>
  <c r="E196" i="11"/>
  <c r="E195" i="11"/>
  <c r="E194" i="11"/>
  <c r="E193" i="11"/>
  <c r="D163" i="11"/>
  <c r="F163" i="11"/>
  <c r="E163" i="11"/>
  <c r="E200" i="11"/>
  <c r="C195" i="11"/>
  <c r="C196" i="11"/>
  <c r="C194" i="11"/>
  <c r="C193" i="11"/>
  <c r="G177" i="11"/>
  <c r="F177" i="11"/>
  <c r="H177" i="11"/>
  <c r="C177" i="11"/>
  <c r="E177" i="11"/>
  <c r="C169" i="11"/>
  <c r="C158" i="11"/>
  <c r="B158" i="11"/>
  <c r="B144" i="11"/>
  <c r="C201" i="11" l="1"/>
  <c r="E201" i="11"/>
  <c r="C125" i="11"/>
  <c r="C103" i="11"/>
  <c r="B101" i="11"/>
  <c r="B102" i="11"/>
  <c r="E101" i="11"/>
  <c r="D102" i="11"/>
  <c r="D101" i="11"/>
  <c r="B81" i="11"/>
  <c r="D8" i="11"/>
  <c r="D6" i="11"/>
  <c r="D5" i="11"/>
  <c r="B23" i="11"/>
  <c r="B25" i="11" s="1"/>
  <c r="D67" i="11"/>
  <c r="C67" i="11"/>
  <c r="B67" i="11"/>
  <c r="C76" i="11"/>
  <c r="D101" i="3"/>
  <c r="C101" i="3"/>
  <c r="B101" i="3"/>
  <c r="B56" i="11"/>
  <c r="B55" i="11"/>
  <c r="B49" i="11"/>
  <c r="E19" i="11"/>
  <c r="D19" i="11"/>
  <c r="C19" i="11"/>
  <c r="B19" i="11"/>
  <c r="C39" i="6"/>
  <c r="B41" i="5"/>
  <c r="D8" i="5"/>
  <c r="C26" i="5"/>
  <c r="B26" i="5"/>
  <c r="E26" i="5"/>
  <c r="D26" i="5"/>
  <c r="D5" i="5"/>
  <c r="F70" i="3"/>
  <c r="D18" i="5"/>
  <c r="C18" i="5"/>
  <c r="B18" i="5"/>
  <c r="C91" i="3"/>
  <c r="E70" i="3"/>
  <c r="D70" i="3"/>
  <c r="C70" i="3"/>
  <c r="B70" i="3"/>
  <c r="E31" i="3"/>
  <c r="D31" i="3"/>
  <c r="C31" i="3"/>
  <c r="B31" i="3"/>
  <c r="B48" i="3"/>
  <c r="H18" i="6"/>
  <c r="O10" i="6"/>
  <c r="I11" i="6"/>
  <c r="C83" i="3"/>
  <c r="F83" i="3"/>
  <c r="E83" i="3"/>
  <c r="D83" i="3"/>
  <c r="B83" i="3"/>
  <c r="D70" i="4"/>
  <c r="E70" i="4"/>
  <c r="F70" i="4"/>
  <c r="C61" i="3"/>
  <c r="D61" i="3"/>
  <c r="B61" i="3"/>
  <c r="E61" i="3"/>
  <c r="L12" i="6"/>
  <c r="D48" i="3"/>
  <c r="C48" i="3"/>
  <c r="E48" i="3"/>
  <c r="D38" i="3"/>
  <c r="E38" i="3"/>
  <c r="F38" i="3"/>
  <c r="C38" i="3"/>
  <c r="I20" i="7"/>
  <c r="I21" i="7" s="1"/>
  <c r="I7" i="7"/>
  <c r="I8" i="7" s="1"/>
  <c r="F62" i="4"/>
  <c r="E62" i="4"/>
  <c r="H53" i="4"/>
  <c r="D62" i="4"/>
  <c r="G48" i="4"/>
  <c r="E48" i="4"/>
  <c r="H48" i="4"/>
  <c r="F48" i="4"/>
  <c r="D48" i="4"/>
  <c r="C48" i="4"/>
  <c r="E19" i="3"/>
  <c r="D19" i="3"/>
  <c r="C19" i="3"/>
  <c r="B19" i="3"/>
  <c r="D6" i="5"/>
  <c r="F34" i="4"/>
  <c r="E34" i="4"/>
  <c r="H34" i="4"/>
  <c r="D34" i="4"/>
  <c r="G34" i="4"/>
  <c r="C34" i="4"/>
  <c r="C17" i="4"/>
  <c r="E17" i="4"/>
  <c r="H17" i="4"/>
  <c r="G17" i="4"/>
  <c r="D11" i="3"/>
  <c r="D10" i="3"/>
  <c r="D12" i="3"/>
  <c r="D6" i="3"/>
  <c r="D5" i="3"/>
  <c r="D4" i="3"/>
  <c r="D3" i="3"/>
  <c r="B103" i="11" l="1"/>
  <c r="D103" i="11"/>
  <c r="B5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tc={B5230A97-84CB-4F8C-89E6-F1CBDFA81723}</author>
    <author>tc={C8CEF305-7AC6-4766-A678-C9E7B9B05817}</author>
    <author>tc={8CF1E09A-5CC7-4A12-8B24-09B5108367E7}</author>
    <author>tc={86AB6E9D-4F74-42BD-94FA-671DC5557F05}</author>
    <author>tc={A5FB9252-B333-4B30-A0FA-9F64B8901F69}</author>
    <author>tc={A513AEFD-E37A-4976-A58E-04B18DCACDF1}</author>
    <author>tc={B3A96129-8584-4089-90FA-8CFA5D331CFB}</author>
    <author>tc={952E5490-D4B5-4E83-8C8B-083476DD3F35}</author>
    <author>tc={848D10E7-83AE-4F2D-AF3B-630B93DA4A57}</author>
    <author>tc={E2403698-DA16-4ECC-9428-7872E54A5C10}</author>
    <author>tc={3CBA5164-9ACE-44C3-821D-50AC9E761663}</author>
    <author>tc={BD6606AB-495C-45FB-8478-00F27C204A38}</author>
  </authors>
  <commentList>
    <comment ref="A17" authorId="0" shapeId="0" xr:uid="{B5230A97-84CB-4F8C-89E6-F1CBDFA81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irá comprar, Joca pediu pra fazer uma cruzeta em 7Lagoas pra colocar no lugar</t>
      </text>
    </comment>
    <comment ref="D19" authorId="1" shapeId="0" xr:uid="{C8CEF305-7AC6-4766-A678-C9E7B9B058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irá comprar, Joca pediu pra fazer uma cruzeta em 7Lagoas pra colocar no lugar</t>
      </text>
    </comment>
    <comment ref="B43" authorId="2" shapeId="0" xr:uid="{8CF1E09A-5CC7-4A12-8B24-09B5108367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NAKATA
</t>
      </text>
    </comment>
    <comment ref="D43" authorId="3" shapeId="0" xr:uid="{86AB6E9D-4F74-42BD-94FA-671DC5557F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NAKATA</t>
      </text>
    </comment>
    <comment ref="F45" authorId="4" shapeId="0" xr:uid="{A5FB9252-B333-4B30-A0FA-9F64B8901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 MOPAR</t>
      </text>
    </comment>
    <comment ref="B87" authorId="5" shapeId="0" xr:uid="{A513AEFD-E37A-4976-A58E-04B18DCACD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 98123-6962</t>
      </text>
    </comment>
    <comment ref="C87" authorId="6" shapeId="0" xr:uid="{B3A96129-8584-4089-90FA-8CFA5D331C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3199123-6727</t>
      </text>
    </comment>
    <comment ref="D87" authorId="7" shapeId="0" xr:uid="{952E5490-D4B5-4E83-8C8B-083476DD3F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31998985552</t>
      </text>
    </comment>
    <comment ref="E87" authorId="8" shapeId="0" xr:uid="{848D10E7-83AE-4F2D-AF3B-630B93DA4A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 98417-7930</t>
      </text>
    </comment>
    <comment ref="F87" authorId="9" shapeId="0" xr:uid="{E2403698-DA16-4ECC-9428-7872E54A5C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3199777-2111</t>
      </text>
    </comment>
    <comment ref="F174" authorId="10" shapeId="0" xr:uid="{3CBA5164-9ACE-44C3-821D-50AC9E7616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10W30</t>
      </text>
    </comment>
    <comment ref="D580" authorId="11" shapeId="0" xr:uid="{BD6606AB-495C-45FB-8478-00F27C204A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REPSOL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tc={B0FF8982-7FA3-4195-A283-15CE229E0B95}</author>
    <author>tc={81364A16-B1F6-4421-A1E4-C05E5C3539F6}</author>
    <author>tc={6AA7FD30-D550-42BF-B34D-EC172B6797CF}</author>
    <author>tc={9B946122-1CFD-40DE-8CF7-7E9363C02624}</author>
    <author>tc={7FE48D86-D074-4DE0-9A37-3945258CA039}</author>
    <author>tc={DCA9A341-34E3-4D5B-8F19-88E105600E9B}</author>
  </authors>
  <commentList>
    <comment ref="C36" authorId="0" shapeId="0" xr:uid="{B0FF8982-7FA3-4195-A283-15CE229E0B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316,90 UN</t>
      </text>
    </comment>
    <comment ref="C37" authorId="1" shapeId="0" xr:uid="{81364A16-B1F6-4421-A1E4-C05E5C3539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289,90 1 UNI PROMOÇÃO</t>
      </text>
    </comment>
    <comment ref="A55" authorId="2" shapeId="0" xr:uid="{6AA7FD30-D550-42BF-B34D-EC172B6797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USOU</t>
      </text>
    </comment>
    <comment ref="A57" authorId="3" shapeId="0" xr:uid="{9B946122-1CFD-40DE-8CF7-7E9363C026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USOU</t>
      </text>
    </comment>
    <comment ref="A58" authorId="4" shapeId="0" xr:uid="{7FE48D86-D074-4DE0-9A37-3945258CA0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USOU</t>
      </text>
    </comment>
    <comment ref="F127" authorId="5" shapeId="0" xr:uid="{DCA9A341-34E3-4D5B-8F19-88E105600E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10W30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tc={329048F0-FB12-47AD-8802-A01A544F40B0}</author>
    <author>tc={73DFE953-1131-443E-90A7-E91B16A32E58}</author>
    <author>tc={1F87F0BB-8A28-4F21-A565-B898EB3EF000}</author>
    <author>tc={739753A6-CB66-420C-9695-1EAC2648D7AB}</author>
    <author>tc={A4A45BB9-6F48-4463-A88B-06005A6AED2D}</author>
    <author>tc={F54CE693-1C5E-4B96-B30B-8CB69D2ED7CB}</author>
    <author>tc={F42A44BE-662E-4275-82C0-734CEB053D35}</author>
    <author>tc={AA1CFED6-5D40-4FA6-B664-9B1BB774FE10}</author>
  </authors>
  <commentList>
    <comment ref="B13" authorId="0" shapeId="0" xr:uid="{329048F0-FB12-47AD-8802-A01A544F40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SO CORREIA </t>
      </text>
    </comment>
    <comment ref="E13" authorId="1" shapeId="0" xr:uid="{73DFE953-1131-443E-90A7-E91B16A32E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 CASTILHOS</t>
      </text>
    </comment>
    <comment ref="F13" authorId="2" shapeId="0" xr:uid="{1F87F0BB-8A28-4F21-A565-B898EB3EF0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COMPLETO
</t>
      </text>
    </comment>
    <comment ref="A24" authorId="3" shapeId="0" xr:uid="{739753A6-CB66-420C-9695-1EAC2648D7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irá comprar, Joca pediu pra fazer uma cruzeta em 7Lagoas pra colocar no lugar</t>
      </text>
    </comment>
    <comment ref="D26" authorId="4" shapeId="0" xr:uid="{A4A45BB9-6F48-4463-A88B-06005A6AED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irá comprar, Joca pediu pra fazer uma cruzeta em 7Lagoas pra colocar no lugar</t>
      </text>
    </comment>
    <comment ref="B35" authorId="5" shapeId="0" xr:uid="{F54CE693-1C5E-4B96-B30B-8CB69D2ED7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NAKATA
</t>
      </text>
    </comment>
    <comment ref="D35" authorId="6" shapeId="0" xr:uid="{F42A44BE-662E-4275-82C0-734CEB053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NAKATA</t>
      </text>
    </comment>
    <comment ref="F37" authorId="7" shapeId="0" xr:uid="{AA1CFED6-5D40-4FA6-B664-9B1BB774FE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 MOPAR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tc={D6BDEEFF-9AFD-46F6-9876-C5C194582048}</author>
    <author>tc={50EC8681-7250-403B-A4E6-684D934F5B05}</author>
    <author>tc={5BAF0F15-79CB-427B-9E0F-F6D7091042B6}</author>
  </authors>
  <commentList>
    <comment ref="C28" authorId="0" shapeId="0" xr:uid="{D6BDEEFF-9AFD-46F6-9876-C5C1945820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TUBO C 6mts</t>
      </text>
    </comment>
    <comment ref="D28" authorId="1" shapeId="0" xr:uid="{50EC8681-7250-403B-A4E6-684D934F5B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mts</t>
      </text>
    </comment>
    <comment ref="E28" authorId="2" shapeId="0" xr:uid="{5BAF0F15-79CB-427B-9E0F-F6D7091042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Tubo 6mts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tc={8BCA743D-085C-4604-8AB7-C7A0B6FE9843}</author>
    <author>tc={479FA54A-2994-4F81-B59A-D4DE3E21D91D}</author>
  </authors>
  <commentList>
    <comment ref="A12" authorId="0" shapeId="0" xr:uid="{8BCA743D-085C-4604-8AB7-C7A0B6FE98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 TAMPAS
6 SAIDAS</t>
      </text>
    </comment>
    <comment ref="B15" authorId="1" shapeId="0" xr:uid="{479FA54A-2994-4F81-B59A-D4DE3E21D9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COBRAS AS TAMPAS E SAIDAS
</t>
      </text>
    </comment>
  </commentList>
</comments>
</file>

<file path=xl/sharedStrings.xml><?xml version="1.0" encoding="utf-8"?>
<sst xmlns="http://schemas.openxmlformats.org/spreadsheetml/2006/main" count="5157" uniqueCount="2794">
  <si>
    <t>EMPRESA</t>
  </si>
  <si>
    <t>CONTATO VEND.</t>
  </si>
  <si>
    <t>DOXBRASIL</t>
  </si>
  <si>
    <t>DIRLENE - 3198291-4497</t>
  </si>
  <si>
    <t>PERFIL TELHAS</t>
  </si>
  <si>
    <t>NAYARA - 3199062-2953</t>
  </si>
  <si>
    <t>PERFIL MINAS</t>
  </si>
  <si>
    <t>PAULO - 3199343-3216</t>
  </si>
  <si>
    <t>COTAÇÃO VIGAS 23/10 viga leve W 250x32,7 / 20pc 6000mm</t>
  </si>
  <si>
    <t xml:space="preserve">EUCALIPTO TRATADO                          </t>
  </si>
  <si>
    <t>JUATUBA (31987731286)</t>
  </si>
  <si>
    <t>AMARU MADEIRAS (31999968663)</t>
  </si>
  <si>
    <t>MINAS EUCALIPTO (31997129000)</t>
  </si>
  <si>
    <t xml:space="preserve">2,20M (10/12cm) </t>
  </si>
  <si>
    <t>R$ 20,00 2,40M</t>
  </si>
  <si>
    <t>3M (10/12cm)</t>
  </si>
  <si>
    <t>R$ 30,00 2,80M</t>
  </si>
  <si>
    <t>4M (10/12cm)</t>
  </si>
  <si>
    <t>NÃO TEM</t>
  </si>
  <si>
    <t>6M (10/12cm)</t>
  </si>
  <si>
    <t>9M  (10/12cm)</t>
  </si>
  <si>
    <t>GARANTIA</t>
  </si>
  <si>
    <t xml:space="preserve">15 anos </t>
  </si>
  <si>
    <t>10 anos</t>
  </si>
  <si>
    <t>3198291-4497</t>
  </si>
  <si>
    <t>DOXBRASIL (DIRLENE)</t>
  </si>
  <si>
    <t>ORÇ OK</t>
  </si>
  <si>
    <t>3199062-2953</t>
  </si>
  <si>
    <t>PERFIL TELHAS (NAYARA)</t>
  </si>
  <si>
    <t>FECHOU</t>
  </si>
  <si>
    <t>3199343-3216</t>
  </si>
  <si>
    <t>PERIL MINAS (PAULO)</t>
  </si>
  <si>
    <t>DATA</t>
  </si>
  <si>
    <t>CONTATO</t>
  </si>
  <si>
    <t>TELHAS 03/10/2025</t>
  </si>
  <si>
    <t>NÃO RESPO.</t>
  </si>
  <si>
    <t>ENGEBLOCOS</t>
  </si>
  <si>
    <t>INCOBRAZ</t>
  </si>
  <si>
    <t>PREMOLD-CRISTIANO</t>
  </si>
  <si>
    <t>BLOJAFE</t>
  </si>
  <si>
    <t>LAJES CAMPEÃO-ANA</t>
  </si>
  <si>
    <t>DATA VISITA</t>
  </si>
  <si>
    <t>LAJE-22/09/2025</t>
  </si>
  <si>
    <t>CONTATOS COTAÇÃO TELHAS FERRO/VIGAS</t>
  </si>
  <si>
    <t>FECHOU/ ENTRG 08/10</t>
  </si>
  <si>
    <t xml:space="preserve">BLOCOS </t>
  </si>
  <si>
    <t>1,60X80X60</t>
  </si>
  <si>
    <t>80X80X60</t>
  </si>
  <si>
    <t>ANDAIMES</t>
  </si>
  <si>
    <t xml:space="preserve">LOCAN </t>
  </si>
  <si>
    <t>AMANDA-RAMONVAN</t>
  </si>
  <si>
    <t>DEUSENI</t>
  </si>
  <si>
    <t>3198887-6029</t>
  </si>
  <si>
    <t>3199914-3465</t>
  </si>
  <si>
    <t>3199102-1722</t>
  </si>
  <si>
    <t>VALOR</t>
  </si>
  <si>
    <t>FRETE</t>
  </si>
  <si>
    <t>JOÃO MONLEVADE -SIRLENE</t>
  </si>
  <si>
    <t>OURO BRANCO - MELISSA</t>
  </si>
  <si>
    <t>3199540-6113</t>
  </si>
  <si>
    <t>3199967-7920</t>
  </si>
  <si>
    <t>R$100,00 ENTREGA/RETIRADA</t>
  </si>
  <si>
    <t>R$300,00 ENTREGA/RETIRADA</t>
  </si>
  <si>
    <t>CECILIA-MINAS LOCC</t>
  </si>
  <si>
    <t>3199536-5355</t>
  </si>
  <si>
    <t>AMPLIAR ANDAIMES</t>
  </si>
  <si>
    <t>80,00 ENTREGA/RETIRADA</t>
  </si>
  <si>
    <t>R$40,00 ENTREGA/RETIRADA</t>
  </si>
  <si>
    <t>CONTAINER MARITIMO</t>
  </si>
  <si>
    <t>CONTERLOC</t>
  </si>
  <si>
    <t>ESCRITORIO 6M C/ AR</t>
  </si>
  <si>
    <t>RAILOC</t>
  </si>
  <si>
    <t>FRETE/MOBILIZAÇÃO</t>
  </si>
  <si>
    <t>MINAS LOCC</t>
  </si>
  <si>
    <t xml:space="preserve">MATERIAIS HIDRAULICOS </t>
  </si>
  <si>
    <t>Casa Ferreira Goncalves</t>
  </si>
  <si>
    <t>Tambasa</t>
  </si>
  <si>
    <t>Henrique - 31 98472-5687</t>
  </si>
  <si>
    <t>Vanderley -31 99258-5600</t>
  </si>
  <si>
    <t>Gleisson -31 98423-5212</t>
  </si>
  <si>
    <t>Celio - 31 98955-8417</t>
  </si>
  <si>
    <t>Edvaldo - 31 99894-6370</t>
  </si>
  <si>
    <t>Diniz(Cirino)</t>
  </si>
  <si>
    <t xml:space="preserve">MOD </t>
  </si>
  <si>
    <t>CONTAINER BH</t>
  </si>
  <si>
    <t>31 99536-5355- CECILIA</t>
  </si>
  <si>
    <t>CADA</t>
  </si>
  <si>
    <t>31 99863-6863- ARMANDO</t>
  </si>
  <si>
    <t>31 99606-6061 - ANNA</t>
  </si>
  <si>
    <t>31 99547-8323 - JOSILANE</t>
  </si>
  <si>
    <t>31 99393-2168 - RAPHAEL</t>
  </si>
  <si>
    <t>31 98504-1818- MARLUCIO</t>
  </si>
  <si>
    <t>MOBILIZAÇÃO</t>
  </si>
  <si>
    <t>CADA / SEM AR</t>
  </si>
  <si>
    <t>31 99167-5791- MARINA</t>
  </si>
  <si>
    <t>não tem</t>
  </si>
  <si>
    <t>AGUARDANDO</t>
  </si>
  <si>
    <t>CHAMADA NÃO COMPLETA</t>
  </si>
  <si>
    <r>
      <t xml:space="preserve">Parada  </t>
    </r>
    <r>
      <rPr>
        <b/>
        <sz val="10.5"/>
        <color rgb="FF0F0F0F"/>
        <rFont val="Calibri"/>
        <family val="2"/>
      </rPr>
      <t xml:space="preserve">do </t>
    </r>
    <r>
      <rPr>
        <b/>
        <sz val="10.5"/>
        <color rgb="FF080808"/>
        <rFont val="Calibri"/>
        <family val="2"/>
      </rPr>
      <t>PVC</t>
    </r>
  </si>
  <si>
    <r>
      <rPr>
        <b/>
        <sz val="10.5"/>
        <color rgb="FF0C0C0C"/>
        <rFont val="Calibri"/>
        <family val="2"/>
      </rPr>
      <t>Turn</t>
    </r>
    <r>
      <rPr>
        <b/>
        <sz val="10.5"/>
        <color rgb="FF212121"/>
        <rFont val="Calibri"/>
        <family val="2"/>
      </rPr>
      <t>a</t>
    </r>
  </si>
  <si>
    <r>
      <t xml:space="preserve">PB Ponto </t>
    </r>
    <r>
      <rPr>
        <b/>
        <sz val="10.5"/>
        <color rgb="FF262626"/>
        <rFont val="Calibri"/>
        <family val="2"/>
      </rPr>
      <t xml:space="preserve">do </t>
    </r>
    <r>
      <rPr>
        <b/>
        <sz val="10.5"/>
        <rFont val="Calibri"/>
        <family val="2"/>
      </rPr>
      <t>Bombeiro</t>
    </r>
  </si>
  <si>
    <r>
      <rPr>
        <b/>
        <sz val="10.5"/>
        <color rgb="FF1A1A1A"/>
        <rFont val="Calibri"/>
        <family val="2"/>
      </rPr>
      <t xml:space="preserve">William </t>
    </r>
    <r>
      <rPr>
        <b/>
        <sz val="10.5"/>
        <rFont val="Calibri"/>
        <family val="2"/>
      </rPr>
      <t>Veneza</t>
    </r>
  </si>
  <si>
    <r>
      <rPr>
        <b/>
        <sz val="10.5"/>
        <color rgb="FF161616"/>
        <rFont val="Calibri"/>
        <family val="2"/>
      </rPr>
      <t>William</t>
    </r>
    <r>
      <rPr>
        <b/>
        <sz val="10.5"/>
        <rFont val="Calibri"/>
        <family val="2"/>
      </rPr>
      <t xml:space="preserve"> - 31 99541-2971</t>
    </r>
  </si>
  <si>
    <t xml:space="preserve">GERADOR  </t>
  </si>
  <si>
    <t xml:space="preserve">POTENCIAL </t>
  </si>
  <si>
    <t>31 98697-4530 - ALAN</t>
  </si>
  <si>
    <t>LOCAFAZ</t>
  </si>
  <si>
    <t>ALMOXARIFADO 6M</t>
  </si>
  <si>
    <t>LOCAFAZ 8KVA DIESEL</t>
  </si>
  <si>
    <t xml:space="preserve">cortesia </t>
  </si>
  <si>
    <t>OBS</t>
  </si>
  <si>
    <t xml:space="preserve">CANADA </t>
  </si>
  <si>
    <t>3474-3869 / 3198692-8887</t>
  </si>
  <si>
    <t>288,00 9mts</t>
  </si>
  <si>
    <t>40,00 mob</t>
  </si>
  <si>
    <t>RODOAGRO</t>
  </si>
  <si>
    <t>31 97250-7161- EDUARDA</t>
  </si>
  <si>
    <t>entregue 04-11</t>
  </si>
  <si>
    <t>ORÇAMENTO</t>
  </si>
  <si>
    <t>- 27 barras 12.5mm - R$59,00 cada</t>
  </si>
  <si>
    <t>Total: R$1.593,00</t>
  </si>
  <si>
    <t>- 07 barras 8.0mm - R$26,90 cada</t>
  </si>
  <si>
    <t>Total: R$188,30</t>
  </si>
  <si>
    <t>- 04 KG PG 7 torcido - R$11,90 KG</t>
  </si>
  <si>
    <t>Total: R$47,60</t>
  </si>
  <si>
    <t>- 335 16x25 com ferro 5.0mm - R$2,10 cada</t>
  </si>
  <si>
    <t>Total: R$703,50</t>
  </si>
  <si>
    <t>Total: R$2.532,40</t>
  </si>
  <si>
    <t>FERRAGEM-TOTAL FERRAGEM/ EDINARA- 31 99800-7745</t>
  </si>
  <si>
    <t>CIMENTOS - LISBOA</t>
  </si>
  <si>
    <t>BLOCOS -BLOJAF / JUCIMAR- 31 98526-8280</t>
  </si>
  <si>
    <t>MG BLOCK</t>
  </si>
  <si>
    <t>31 99143-4673</t>
  </si>
  <si>
    <t>Ramon-31 98472,3265</t>
  </si>
  <si>
    <t xml:space="preserve">HIPRESS </t>
  </si>
  <si>
    <t>TUMA</t>
  </si>
  <si>
    <t>3298-2000</t>
  </si>
  <si>
    <t>Gisley- 31 97143-5510</t>
  </si>
  <si>
    <t>HIDRO PARTES</t>
  </si>
  <si>
    <t>31 3073-2222</t>
  </si>
  <si>
    <r>
      <rPr>
        <b/>
        <sz val="10.5"/>
        <color rgb="FF0C0C0C"/>
        <rFont val="Calibri"/>
        <family val="2"/>
      </rPr>
      <t>Leandro</t>
    </r>
    <r>
      <rPr>
        <b/>
        <sz val="10.5"/>
        <rFont val="Calibri"/>
        <family val="2"/>
      </rPr>
      <t xml:space="preserve"> - 31 9814-7908</t>
    </r>
  </si>
  <si>
    <t>3239-2200</t>
  </si>
  <si>
    <t>so o cabo de aço R$  233,06</t>
  </si>
  <si>
    <t>CLARA-98504-1818</t>
  </si>
  <si>
    <t>RAILOC 1</t>
  </si>
  <si>
    <t>RAILOC 2</t>
  </si>
  <si>
    <t>12KVA DIESEL</t>
  </si>
  <si>
    <t>TELAS SJS - CAROL 31 97575-0273</t>
  </si>
  <si>
    <t>5/32 (3.96MM)</t>
  </si>
  <si>
    <t>MATERIAL</t>
  </si>
  <si>
    <t xml:space="preserve">CABO DE AÇO 1/8(3,17MM) </t>
  </si>
  <si>
    <t>CARLOS - 31 98478-1588 CASA FER</t>
  </si>
  <si>
    <t xml:space="preserve"> TAMBASA Leandro - 31 9814-7908</t>
  </si>
  <si>
    <t>MANG MAIS- JULIANA 31 9 9265-9379</t>
  </si>
  <si>
    <t>SOMENTE VENDA</t>
  </si>
  <si>
    <t>8 KVA DIESEL/BIFASICO 220V</t>
  </si>
  <si>
    <t xml:space="preserve">9 KVA A GASOLINA </t>
  </si>
  <si>
    <t>VANDERLEY - 31 9 9258-5600</t>
  </si>
  <si>
    <t>30 SC -04/11 - ENTREGUE 05/11</t>
  </si>
  <si>
    <t xml:space="preserve">TUBO DRENO C/ CAMISA - 100mm / 50M </t>
  </si>
  <si>
    <t>DRENAK GEOTEXTIL</t>
  </si>
  <si>
    <t>TAMBASA</t>
  </si>
  <si>
    <t>LEANDRO- 31 99814-7908</t>
  </si>
  <si>
    <t>VANDERLEY- 31 99258-5600</t>
  </si>
  <si>
    <t>PARADA DO PVC</t>
  </si>
  <si>
    <t>SOMENTE DRENO- MANTA 12,00 M</t>
  </si>
  <si>
    <t>IVAN- 31 99231-7687/32982031</t>
  </si>
  <si>
    <t>EMILY- 31 98846-0052</t>
  </si>
  <si>
    <t>ABRAÇADEIRA POSTE</t>
  </si>
  <si>
    <t>LOJA ELETRICA</t>
  </si>
  <si>
    <t>LUCAS-4020-2882</t>
  </si>
  <si>
    <t>CASA FERREIRA GONÇALVES</t>
  </si>
  <si>
    <t>RAMON-31 98472-3265</t>
  </si>
  <si>
    <t>SOMENTE DRENO- MANTA 15,11 ML</t>
  </si>
  <si>
    <t>PONTO DO BOMBEIRO</t>
  </si>
  <si>
    <t>MANUEL-3239-2200</t>
  </si>
  <si>
    <t>12 abraçadeira / 24 parafusos</t>
  </si>
  <si>
    <t>10 tubos 75 / 15 luvas 75 / 15 joelhos 75</t>
  </si>
  <si>
    <t>TUBOS</t>
  </si>
  <si>
    <t xml:space="preserve">VALOR </t>
  </si>
  <si>
    <t>MAG MAIS</t>
  </si>
  <si>
    <t>2565-9555</t>
  </si>
  <si>
    <t>PVC TAMBASA</t>
  </si>
  <si>
    <t>PEÇAS PIPA BH CABINES</t>
  </si>
  <si>
    <t>ANDAIMES MINAS LOCC</t>
  </si>
  <si>
    <t>ABRAÇADEIRA LOJA ELETRICA</t>
  </si>
  <si>
    <t>ADITIVO ANTICORROSIVO</t>
  </si>
  <si>
    <t>GRANDLUB</t>
  </si>
  <si>
    <t>DEC LUB</t>
  </si>
  <si>
    <t>DISPETRAL</t>
  </si>
  <si>
    <t>DESCRIÇÃO</t>
  </si>
  <si>
    <t>PETRONAS-COOLANT PRONTO P USO 20lts</t>
  </si>
  <si>
    <t>PARAFLU- P USO. HIBRIDO VERDE 20lts</t>
  </si>
  <si>
    <t>SHELL</t>
  </si>
  <si>
    <t>PARAFLU-IPIRANGA</t>
  </si>
  <si>
    <t>TOTAL 3 UN</t>
  </si>
  <si>
    <t>(31) 3389-4000</t>
  </si>
  <si>
    <t>elmaz</t>
  </si>
  <si>
    <t>COFER DIST FERRAGEM</t>
  </si>
  <si>
    <t>LUCELIA - 3199958-2777</t>
  </si>
  <si>
    <r>
      <t xml:space="preserve">OLEO MOTOR </t>
    </r>
    <r>
      <rPr>
        <b/>
        <sz val="11"/>
        <color rgb="FFFF0000"/>
        <rFont val="Aptos Narrow"/>
        <family val="2"/>
        <scheme val="minor"/>
      </rPr>
      <t>15W40</t>
    </r>
    <r>
      <rPr>
        <b/>
        <sz val="11"/>
        <color theme="1"/>
        <rFont val="Aptos Narrow"/>
        <family val="2"/>
        <scheme val="minor"/>
      </rPr>
      <t xml:space="preserve"> BD</t>
    </r>
  </si>
  <si>
    <t>TOTAL 6 UN</t>
  </si>
  <si>
    <t>DISPETRAL (LEANDRO)</t>
  </si>
  <si>
    <t>IPIRANGA</t>
  </si>
  <si>
    <t>GRANDLUB 3198499-9953</t>
  </si>
  <si>
    <t>DEC LUB (ANDRE) 3198458-7214</t>
  </si>
  <si>
    <t>CASTROL 400,00</t>
  </si>
  <si>
    <t>PETROL 345,00</t>
  </si>
  <si>
    <t xml:space="preserve">LUBRAX 389,00 </t>
  </si>
  <si>
    <t>CONTATOS COTAÇÃO TELHAS FERRO</t>
  </si>
  <si>
    <t>32 barras 75x40 enrigecido</t>
  </si>
  <si>
    <t>14 barras 100x50 enrigecido</t>
  </si>
  <si>
    <t>MIRIAM- 3199957-3412</t>
  </si>
  <si>
    <t>FORTAÇO</t>
  </si>
  <si>
    <t>CALHA 25MM</t>
  </si>
  <si>
    <t>Parada do PVC</t>
  </si>
  <si>
    <t>LUVA PVC TUBO EDUTOR 1 1/4''</t>
  </si>
  <si>
    <t>TUBO PVC TUBO EDUTOR 1 1/4''</t>
  </si>
  <si>
    <t>CABO PP 16MM COBRE</t>
  </si>
  <si>
    <t>CABO DE AÇO 4MM</t>
  </si>
  <si>
    <t>Y DE 50MM</t>
  </si>
  <si>
    <t>QUANTIDADE</t>
  </si>
  <si>
    <t>TUBO IRRGAÇÃO 50MM</t>
  </si>
  <si>
    <t>140m</t>
  </si>
  <si>
    <t>35m</t>
  </si>
  <si>
    <t>150m</t>
  </si>
  <si>
    <t>**</t>
  </si>
  <si>
    <t>HIDROCAMPO</t>
  </si>
  <si>
    <t>JET GARDEM</t>
  </si>
  <si>
    <t>REGISTRO P/ CANO PVC 100MM</t>
  </si>
  <si>
    <t>ROMARIO 3198840-6214</t>
  </si>
  <si>
    <t>JAIRO 313411-7540</t>
  </si>
  <si>
    <t>CALHAS</t>
  </si>
  <si>
    <t>PRFIL MINAS</t>
  </si>
  <si>
    <t>DEP. CIRINO/DINIZ</t>
  </si>
  <si>
    <t xml:space="preserve">ICOPEL </t>
  </si>
  <si>
    <t>MANA CALHAS</t>
  </si>
  <si>
    <t>NEVES CALHAS</t>
  </si>
  <si>
    <t>TOTAL</t>
  </si>
  <si>
    <t>3199549-8789</t>
  </si>
  <si>
    <t>LEONARDO 31 99814-7908</t>
  </si>
  <si>
    <t>3199894-6370</t>
  </si>
  <si>
    <t>VANDERLEY 3199258-5600</t>
  </si>
  <si>
    <t>GRB</t>
  </si>
  <si>
    <t>joelhos 2"</t>
  </si>
  <si>
    <t>T 2"</t>
  </si>
  <si>
    <t>joelhos 1 1/2"</t>
  </si>
  <si>
    <t xml:space="preserve"> mangueira  1 1/2 para diesel</t>
  </si>
  <si>
    <t>3mts</t>
  </si>
  <si>
    <t>engate IBC de 2 " - Para união</t>
  </si>
  <si>
    <t>mangueira 2 " para diesel</t>
  </si>
  <si>
    <t>50 cm</t>
  </si>
  <si>
    <t>uniões 2 polegadas</t>
  </si>
  <si>
    <t>cano galvanizado 2 polegadas</t>
  </si>
  <si>
    <t>2mts</t>
  </si>
  <si>
    <t>espigao para mangueira  1 1/2</t>
  </si>
  <si>
    <t xml:space="preserve">espigão para mangueira 2'' </t>
  </si>
  <si>
    <t>engate rapido para o comboio</t>
  </si>
  <si>
    <t>braçadeira para mangueira 2''</t>
  </si>
  <si>
    <t>2 braçadeira para mangueira 1 1/2 polegadas</t>
  </si>
  <si>
    <t>TOTAL:</t>
  </si>
  <si>
    <t>IMPERIO MANGUEIRAS</t>
  </si>
  <si>
    <t>31 99696-0987</t>
  </si>
  <si>
    <t>TUNA</t>
  </si>
  <si>
    <t>3298-2031</t>
  </si>
  <si>
    <t>BH CORREIAS</t>
  </si>
  <si>
    <t>ROCHA PEÇAS</t>
  </si>
  <si>
    <t>GATES</t>
  </si>
  <si>
    <t>ELMAZ</t>
  </si>
  <si>
    <t xml:space="preserve">GUSTAVO BATERIAS </t>
  </si>
  <si>
    <t>H PEÇAS</t>
  </si>
  <si>
    <t>APAIL</t>
  </si>
  <si>
    <t>FIXO IMPORTADO</t>
  </si>
  <si>
    <t>MOVEL MAHLE</t>
  </si>
  <si>
    <t>FIXO KS</t>
  </si>
  <si>
    <t>MOVEL CUMMINS</t>
  </si>
  <si>
    <t>COR CONTINENTAL</t>
  </si>
  <si>
    <t>MAHLE</t>
  </si>
  <si>
    <t>CUMMINS</t>
  </si>
  <si>
    <t>21/11/202</t>
  </si>
  <si>
    <t>200L 15W40</t>
  </si>
  <si>
    <t>200L OLEO 68</t>
  </si>
  <si>
    <t>40L 10W30 CAIXA DE TRANSMISSÃO</t>
  </si>
  <si>
    <t>DELLAS</t>
  </si>
  <si>
    <t>TECNOLUB</t>
  </si>
  <si>
    <t>LUBRIFIC ALL</t>
  </si>
  <si>
    <t>VINICIUS 4499846-6011</t>
  </si>
  <si>
    <t>LUZIA 925161111</t>
  </si>
  <si>
    <t>EDGARD 999571824</t>
  </si>
  <si>
    <t>98499-9953</t>
  </si>
  <si>
    <t>FECHADA - CHEGA 25/11</t>
  </si>
  <si>
    <t>BLOCOS 0,20 VAZADO</t>
  </si>
  <si>
    <t>BARRA DE FERRO 12,5MM</t>
  </si>
  <si>
    <t>BARRA DE FERRO 8MM</t>
  </si>
  <si>
    <t>BARRA DE FERRO 5MM</t>
  </si>
  <si>
    <t>POLIFILTROS</t>
  </si>
  <si>
    <t>P553004</t>
  </si>
  <si>
    <t>PSC73/1</t>
  </si>
  <si>
    <t>P777639</t>
  </si>
  <si>
    <t>FS19914</t>
  </si>
  <si>
    <t>LF 4054</t>
  </si>
  <si>
    <t>P781039</t>
  </si>
  <si>
    <t>POLI</t>
  </si>
  <si>
    <t>DEL REY</t>
  </si>
  <si>
    <t>?</t>
  </si>
  <si>
    <t>BLOJAF</t>
  </si>
  <si>
    <t>TOTAL FERRAGENS</t>
  </si>
  <si>
    <t>Fat. Direto: KTM - Administração e Engenharia Ltda. - 26.279.935/0001-42</t>
  </si>
  <si>
    <t>Executor do Serviço: Minasfalto - 24.374.667/0001-12</t>
  </si>
  <si>
    <t>Fornecedor do material: VR Transportador Revendedor Retalhista Ltda</t>
  </si>
  <si>
    <t>Data: 26/11/2025</t>
  </si>
  <si>
    <t>Material</t>
  </si>
  <si>
    <t>QTDE(TON)</t>
  </si>
  <si>
    <t>R$/Lt</t>
  </si>
  <si>
    <t>Valor</t>
  </si>
  <si>
    <t>DIESEL S10</t>
  </si>
  <si>
    <t>Frete CIF (Entregue na Usina Minasfalto)</t>
  </si>
  <si>
    <t>Prazo de pagamento: 14DD</t>
  </si>
  <si>
    <t>Contato: MARCELO 31 98203-2056 - marcelo@vrcombustiveis.com.br</t>
  </si>
  <si>
    <t>FORNECEDOR</t>
  </si>
  <si>
    <t>FATURADO</t>
  </si>
  <si>
    <t>OUTUBRO 27-10</t>
  </si>
  <si>
    <t>MATEUS XAVIER</t>
  </si>
  <si>
    <t>(31) 98489-2666</t>
  </si>
  <si>
    <t>5.372 - 13DD</t>
  </si>
  <si>
    <t>5,42 AV / 5,43 13D</t>
  </si>
  <si>
    <t>MARCELO VR DIESEL</t>
  </si>
  <si>
    <t>(31) 98203-2056</t>
  </si>
  <si>
    <t>5,42 -  14DD</t>
  </si>
  <si>
    <t>5,38 AV / 5,40 14D</t>
  </si>
  <si>
    <t>GRAZIELLE RIO BRANCO</t>
  </si>
  <si>
    <t>(31) 99728-4741</t>
  </si>
  <si>
    <t>5.411 - 15DD</t>
  </si>
  <si>
    <t>5,38 AV / 5,457 15D / 5,488 21D</t>
  </si>
  <si>
    <t>GLADSON REPELUB</t>
  </si>
  <si>
    <t>(31) 97597-6300</t>
  </si>
  <si>
    <t>5,40 - 12DD</t>
  </si>
  <si>
    <t>5,39 12 D</t>
  </si>
  <si>
    <t xml:space="preserve">DIESEL S10 26/11 </t>
  </si>
  <si>
    <t>KTM</t>
  </si>
  <si>
    <t xml:space="preserve">10.000L </t>
  </si>
  <si>
    <t>5,49         13DD</t>
  </si>
  <si>
    <t>5,45        14 DD</t>
  </si>
  <si>
    <t>5,55       15 DD</t>
  </si>
  <si>
    <t>DIESEL S10 27/11</t>
  </si>
  <si>
    <t xml:space="preserve"> BARÃO</t>
  </si>
  <si>
    <t>5.000L</t>
  </si>
  <si>
    <t>RUA JOAQUIM RUFINO DOS SANTOS,N° 260, GARCIA/BARÃO DE COCAIS-MG</t>
  </si>
  <si>
    <t>5,52      14DD</t>
  </si>
  <si>
    <t>5,61      12DD</t>
  </si>
  <si>
    <t>5,50      13DD</t>
  </si>
  <si>
    <t>5,49     12DD</t>
  </si>
  <si>
    <t>SARRAFO 7 cm</t>
  </si>
  <si>
    <t>TABUAS 30 cm</t>
  </si>
  <si>
    <t>TABUAS 20 cm</t>
  </si>
  <si>
    <t>BARRA DE FERRO 8 MM</t>
  </si>
  <si>
    <t>BARRA DE FERRO 5 MM</t>
  </si>
  <si>
    <t>BARRA DE FERRO 10 MM</t>
  </si>
  <si>
    <t>BARRA DE FERRO 12 MM</t>
  </si>
  <si>
    <t>Ideal Embreagens</t>
  </si>
  <si>
    <t>Rod. BR 040 Pres, Rod. Pres. Juscelino Kubitschek, 7101 - Califórnia, Belo Horizonte - MG, 30855-500</t>
  </si>
  <si>
    <t>AutoZone Brasil</t>
  </si>
  <si>
    <t>Av. Marechal Castelo Branco, 675 - Jk, Contagem - MG, 32310-010</t>
  </si>
  <si>
    <t>Revisão Auto Peças</t>
  </si>
  <si>
    <t>Av. José Faria da Rocha, 1081 - Eldorado, Contagem - MG, 32315-040</t>
  </si>
  <si>
    <t>Mega Turbos </t>
  </si>
  <si>
    <t>R. Mônaco, 480 - Santa Cruz Industrial, Contagem - MG, 32340-350</t>
  </si>
  <si>
    <t>Odilon Auto Peças</t>
  </si>
  <si>
    <t>Av. Abílio Machado, 4284 - Parque Recreio, Contagem - MG, 30830-000</t>
  </si>
  <si>
    <t>IDK Lubrificantes</t>
  </si>
  <si>
    <t>Av. das Américas, 1235 - Kennedy, Contagem - MG, 32145-000</t>
  </si>
  <si>
    <t>R. Um, 11 - Bairro Do Comércio, Contagem - MG, 32152-002</t>
  </si>
  <si>
    <t>Texaco Troca De Óleo</t>
  </si>
  <si>
    <t>BR-040, 6385 - Chácara Boa Vista, Contagem - MG</t>
  </si>
  <si>
    <t>Bruttus Lubrificantes</t>
  </si>
  <si>
    <t>Av. João Gomes Cardoso, 2358 - Oitis, Contagem - MG, 32141-050</t>
  </si>
  <si>
    <t>Motor Lube Lubrificantes</t>
  </si>
  <si>
    <t>R. Sinfrônio de São E Silva, 294 - Fonte Grande, Contagem - MG, 32013-430</t>
  </si>
  <si>
    <t>DMF </t>
  </si>
  <si>
    <t>R. Um, 300 - Do Comércio, Contagem - MG, 32152-002</t>
  </si>
  <si>
    <t>JJB Lubrificantes</t>
  </si>
  <si>
    <t>R. José Rodrigues Guilherme, 946 - Fonte Grande, Contagem - MG, 32015-540</t>
  </si>
  <si>
    <t>Vilaça Lubrificantes</t>
  </si>
  <si>
    <t>Av. Cel. Jove Soares Nogueira, 381 - Inconfidentes, Contagem - MG, 32260-470</t>
  </si>
  <si>
    <t>Lubrificantes Bandeirantes</t>
  </si>
  <si>
    <t>Av. São João, 317 - Bandeirantes, Contagem - MG, 32240-520</t>
  </si>
  <si>
    <t>Sion Lubrificantes</t>
  </si>
  <si>
    <t>Rua Aida Souza Castro, 15 - Vila Oeste, Belo Horizonte - MG, 30532-130</t>
  </si>
  <si>
    <t>GTI Lubrificantes</t>
  </si>
  <si>
    <t>R. Santa Maria, 59 - Pedra Azul, Contagem - MG, 32183-180</t>
  </si>
  <si>
    <t>Universo Lubrificantes</t>
  </si>
  <si>
    <t>Alameda dos Sabiás, 803 - Cabral, Contagem - MG, 32146-024</t>
  </si>
  <si>
    <t>ALFA LUB</t>
  </si>
  <si>
    <t>Av. Princesa Isabel, 137 - São Joaquim, Contagem - MG, 32113-062</t>
  </si>
  <si>
    <t>BH LUBRIFICANTES</t>
  </si>
  <si>
    <t>R. Póvoa de Varzim, 425 - Paquetá, Belo Horizonte - MG, 31340-060</t>
  </si>
  <si>
    <t>Arca Lubrificantes</t>
  </si>
  <si>
    <t>Av. Santa Terezinha, 194 - Santa Terezinha, Belo Horizonte - MG, 31365-000</t>
  </si>
  <si>
    <t>ENTREGUE 04/12</t>
  </si>
  <si>
    <t>30 SC</t>
  </si>
  <si>
    <t>40 SC</t>
  </si>
  <si>
    <t>CIMENTOS</t>
  </si>
  <si>
    <t>FERRAGENS</t>
  </si>
  <si>
    <t>TABUAS</t>
  </si>
  <si>
    <t>ESGOTO</t>
  </si>
  <si>
    <t>AGUA</t>
  </si>
  <si>
    <t>REFEITÓRIO</t>
  </si>
  <si>
    <t>MATERIAIS 05/12</t>
  </si>
  <si>
    <t>DEP. MARTINS LANA</t>
  </si>
  <si>
    <t>20L 15W40</t>
  </si>
  <si>
    <t>20L OLEO 68</t>
  </si>
  <si>
    <t>QTDE</t>
  </si>
  <si>
    <t>68/ 289,99 -5B</t>
  </si>
  <si>
    <t>BARRA DE FERRO LISO 1/2</t>
  </si>
  <si>
    <t>AR-AF 26393</t>
  </si>
  <si>
    <t>AR-AF 26394</t>
  </si>
  <si>
    <t>OLEO P 55-4403</t>
  </si>
  <si>
    <t>OLEO R 26-A50</t>
  </si>
  <si>
    <t>CSD01 - COPO FILTRO SEPAR. AGUA</t>
  </si>
  <si>
    <t>08/12/2025 - VIBRO AC02</t>
  </si>
  <si>
    <t>DELLREY</t>
  </si>
  <si>
    <t>TRIANGULO</t>
  </si>
  <si>
    <t>PERFIL 75X40 ENRIJ</t>
  </si>
  <si>
    <t>PERFILADOS</t>
  </si>
  <si>
    <t>PERFILADOS R$1.252,11</t>
  </si>
  <si>
    <t>ARAME PG 16</t>
  </si>
  <si>
    <t>ARAME PG 7 TRAÇADO</t>
  </si>
  <si>
    <t>TOTAL F.</t>
  </si>
  <si>
    <t>TOTAL F.                          R$ 402,50</t>
  </si>
  <si>
    <t>MALHA POP 4.2</t>
  </si>
  <si>
    <t>FLEET./DONALD.</t>
  </si>
  <si>
    <t>COPO ACRILICO TECFIL = KR27004</t>
  </si>
  <si>
    <t>FILTRO COMBUSTIVEL EL F OL COMB FTG = 86990957</t>
  </si>
  <si>
    <t>FILTRO DE COMBUSTIVEL EL F COMB DON = P 55-0440</t>
  </si>
  <si>
    <t>EL F SEP DON = R 60-10M - USA COPO</t>
  </si>
  <si>
    <t>FCD 0954 FILTRO COMBUSTIVEL</t>
  </si>
  <si>
    <t>FILTRO RACOR R120-L/10M-AQII - SEPARADOR DE AGUA</t>
  </si>
  <si>
    <t>R 90-30M FILTRO COMB. RACOR</t>
  </si>
  <si>
    <t>LF4054</t>
  </si>
  <si>
    <t>WO 770 FILTRO OLEO HIDRAULICO</t>
  </si>
  <si>
    <t>09/12/2025 - ROLO RC02</t>
  </si>
  <si>
    <t>GAS DO AR -R134</t>
  </si>
  <si>
    <t>VR&amp;M AR CONDICIONADO</t>
  </si>
  <si>
    <t>PVC USINA 10/12</t>
  </si>
  <si>
    <t>ESTICADOR</t>
  </si>
  <si>
    <t>TUBO 75MM</t>
  </si>
  <si>
    <t>TE 75MM</t>
  </si>
  <si>
    <t>6 REDUÇÃO 100X75</t>
  </si>
  <si>
    <t>JOELHO 75MM</t>
  </si>
  <si>
    <t>ABRAÇADEIRA</t>
  </si>
  <si>
    <t>DEP CIRINO</t>
  </si>
  <si>
    <t>PARADA PVC</t>
  </si>
  <si>
    <t>34,99 frete</t>
  </si>
  <si>
    <t>FILTRO FCD0952 WEGA WEGA FCD09</t>
  </si>
  <si>
    <t>FILTRO WOE473 WEGA WEGA WOE47</t>
  </si>
  <si>
    <t>AF 25997 EL F AR FTG = ARS 9839 TECFIL</t>
  </si>
  <si>
    <t>HU947/2X</t>
  </si>
  <si>
    <t>PU 1059X</t>
  </si>
  <si>
    <t>WK 10002/1X</t>
  </si>
  <si>
    <t>WK 954/1X MANN FILTER</t>
  </si>
  <si>
    <t>LF16015 - FILTRO OLEO LUBRIFIC. CUMMINS 4897898 DAF 1399494</t>
  </si>
  <si>
    <t>CAMINHAO ESPARGIDOR - VW 17.280 - 2017             17/12</t>
  </si>
  <si>
    <t>WK 950/27X</t>
  </si>
  <si>
    <t>REPETIDO HU947/2X</t>
  </si>
  <si>
    <t>LIXEIRAS SELETIVAS G28</t>
  </si>
  <si>
    <t>LIXEIRA BH</t>
  </si>
  <si>
    <t>MERC. LIVRE</t>
  </si>
  <si>
    <t>ALTERNADOR: 8PK 1275</t>
  </si>
  <si>
    <t>AR COND.: APK1407</t>
  </si>
  <si>
    <t>REFIL PEÇAS</t>
  </si>
  <si>
    <t>CORREIA ESPARGIDOR - VW 17.280 - 2017             17/12</t>
  </si>
  <si>
    <t>17/12   telhas galv.</t>
  </si>
  <si>
    <t>DIRLENE</t>
  </si>
  <si>
    <t>NAYARA PERFIL</t>
  </si>
  <si>
    <t>FONTE DO AÇO</t>
  </si>
  <si>
    <t>S/ DOBRA</t>
  </si>
  <si>
    <t>C/DOBRA</t>
  </si>
  <si>
    <t xml:space="preserve">JERBRA </t>
  </si>
  <si>
    <t xml:space="preserve">5 UNIDADES 100L / SUPORTE/ </t>
  </si>
  <si>
    <t>8 esticador</t>
  </si>
  <si>
    <t>BLOCOS VAZ.0,20</t>
  </si>
  <si>
    <t>24/11/2025 HAMZÃO</t>
  </si>
  <si>
    <t>OC60 LUBRIFICANTE</t>
  </si>
  <si>
    <t>PSC73/1 COMBUSTIVEL</t>
  </si>
  <si>
    <t>DA0010</t>
  </si>
  <si>
    <t>DA0020</t>
  </si>
  <si>
    <t>CARREGADEIRA SEM - GALPÃO 11/ (COMPROU 29/12)</t>
  </si>
  <si>
    <t>ESTOQUE</t>
  </si>
  <si>
    <t xml:space="preserve">OLEO 90 </t>
  </si>
  <si>
    <t xml:space="preserve"> OLEO 68</t>
  </si>
  <si>
    <t>15W40</t>
  </si>
  <si>
    <t>5 BD</t>
  </si>
  <si>
    <t>9 BD</t>
  </si>
  <si>
    <t xml:space="preserve">1 BD </t>
  </si>
  <si>
    <t>21/11 - 2 BATERIA 100AH</t>
  </si>
  <si>
    <t>EH01 - ESC</t>
  </si>
  <si>
    <t>EQUIPAMENTO</t>
  </si>
  <si>
    <t>DATA/QUANTIDADE</t>
  </si>
  <si>
    <t>05/11 - 2 BATERIA 100AH</t>
  </si>
  <si>
    <t>COMBOIO</t>
  </si>
  <si>
    <t>27/10- 1 BATERIA 100AH</t>
  </si>
  <si>
    <t xml:space="preserve">ESPARG-IXY3C67 </t>
  </si>
  <si>
    <t>VA03 - VIBRO</t>
  </si>
  <si>
    <t>05/09- 1BATERIA 100AH</t>
  </si>
  <si>
    <t>1 -EL F SEP DON = R 60-10M - USA COPO</t>
  </si>
  <si>
    <t>1- FILTRO RACOR R120-L/10M-AQII - SEPARADOR DE AGUA</t>
  </si>
  <si>
    <t>1- R 90-30M FILTRO COMB. RACOR</t>
  </si>
  <si>
    <t>SEM</t>
  </si>
  <si>
    <t>24/11 - 1 BATERIA 100AH</t>
  </si>
  <si>
    <t>BATERIAS</t>
  </si>
  <si>
    <t xml:space="preserve">CORREIAS </t>
  </si>
  <si>
    <t xml:space="preserve">CORREIA PIPA- IQX8813 </t>
  </si>
  <si>
    <t xml:space="preserve">ALTERNADOR: 8PK 2065 </t>
  </si>
  <si>
    <t xml:space="preserve">ESTICADOR DE CORREIA </t>
  </si>
  <si>
    <t>CORREIA 4PK 1407</t>
  </si>
  <si>
    <t>ESPARGIDOR - VW 17.280 - 2017                       05/01</t>
  </si>
  <si>
    <t>REAL PEÇAS</t>
  </si>
  <si>
    <t>ROLAMENTOS 2X</t>
  </si>
  <si>
    <t>entregue 06/01</t>
  </si>
  <si>
    <t xml:space="preserve">NACIONAL </t>
  </si>
  <si>
    <t>1/2 MEIA BARRA DE DIREÇÃO        06/01</t>
  </si>
  <si>
    <t>BUCHA DOS LEQUE</t>
  </si>
  <si>
    <t>BORRACHA DO ESTABILIZADOR</t>
  </si>
  <si>
    <t>L200 2009  07/01</t>
  </si>
  <si>
    <t>RP02 DYNAPAC (PREVENTIVA COM ESTOQUE)</t>
  </si>
  <si>
    <t>CHAVE GERAL    08/01</t>
  </si>
  <si>
    <t>MINAS ACESSORIOS</t>
  </si>
  <si>
    <t>***</t>
  </si>
  <si>
    <t>NACIONAL</t>
  </si>
  <si>
    <t>0.010 / 0.020</t>
  </si>
  <si>
    <t>C20325/2</t>
  </si>
  <si>
    <t>AF25558</t>
  </si>
  <si>
    <t>AF2555700JX</t>
  </si>
  <si>
    <t>CF700</t>
  </si>
  <si>
    <t>C15165/3</t>
  </si>
  <si>
    <t>A018110010</t>
  </si>
  <si>
    <t>RACOR R60-10M</t>
  </si>
  <si>
    <t>RACOR R90-30M</t>
  </si>
  <si>
    <t>RACOR R120LJ-10M-AQII</t>
  </si>
  <si>
    <t>FILTRO L200</t>
  </si>
  <si>
    <t>W962</t>
  </si>
  <si>
    <t>P566656</t>
  </si>
  <si>
    <t>P762904</t>
  </si>
  <si>
    <t>OX161D</t>
  </si>
  <si>
    <t>ONIBUS</t>
  </si>
  <si>
    <t>L200</t>
  </si>
  <si>
    <t>EFL 755</t>
  </si>
  <si>
    <t>W935/1</t>
  </si>
  <si>
    <t>KC118</t>
  </si>
  <si>
    <t>FCD2213</t>
  </si>
  <si>
    <t>FS19996</t>
  </si>
  <si>
    <t>ACABADORA</t>
  </si>
  <si>
    <t>FF5488</t>
  </si>
  <si>
    <t>FS1251</t>
  </si>
  <si>
    <t>FF5018</t>
  </si>
  <si>
    <t>P551026</t>
  </si>
  <si>
    <t>HF6711</t>
  </si>
  <si>
    <t>WF2175</t>
  </si>
  <si>
    <t>P502455</t>
  </si>
  <si>
    <t>LF16015</t>
  </si>
  <si>
    <t>DYNAPAC</t>
  </si>
  <si>
    <t>LF3744</t>
  </si>
  <si>
    <t>LF699</t>
  </si>
  <si>
    <t>FF5936</t>
  </si>
  <si>
    <t>FS19732</t>
  </si>
  <si>
    <t>HF6553</t>
  </si>
  <si>
    <t>VIBRO</t>
  </si>
  <si>
    <t>HF35368</t>
  </si>
  <si>
    <t>LF16480</t>
  </si>
  <si>
    <t>P551853</t>
  </si>
  <si>
    <t>PRANCHA?</t>
  </si>
  <si>
    <t>WO-205</t>
  </si>
  <si>
    <t>HANZINHO?</t>
  </si>
  <si>
    <t>CJ-CARREGADEIRA SEM</t>
  </si>
  <si>
    <t>AR -PATROL MOTONI.</t>
  </si>
  <si>
    <t>AR- ROLO COMP HAMMZÃO</t>
  </si>
  <si>
    <t>PRANCHA / ROLLO MULLER</t>
  </si>
  <si>
    <t xml:space="preserve"> ROLLO MULLER</t>
  </si>
  <si>
    <t>BLIND. LUB -  ROLO COMP HAMMZÃO</t>
  </si>
  <si>
    <t>HID. SUCÇÃO- ROLO COMP HAMMZÃO</t>
  </si>
  <si>
    <t>LUB -COMBOIO / ONIBUS</t>
  </si>
  <si>
    <t>COMB.- PIPA IQX</t>
  </si>
  <si>
    <t>FORD PIPA</t>
  </si>
  <si>
    <t>VIBRO C/CABINE</t>
  </si>
  <si>
    <t>DIESEL- ESCAV. HIDRAULICA01</t>
  </si>
  <si>
    <t>SEP AGUA- PATROL MOTONI.</t>
  </si>
  <si>
    <t>LUB ESP FORD/ESP VW / PRANCHA / ROLO DYNAPAC</t>
  </si>
  <si>
    <t>ROLO COMP. BOMAG</t>
  </si>
  <si>
    <t xml:space="preserve">COMB.-PRANCHA </t>
  </si>
  <si>
    <t>COMB. SEP. AGUA - ROLO DYNAPAC</t>
  </si>
  <si>
    <t>HID.-PATROL MOTONI. / ROLO DYNAPAC</t>
  </si>
  <si>
    <t>LUB.- ONIBUS / PATROL MOTONI./ ROLO PATA XCMG NOVO</t>
  </si>
  <si>
    <t>CJ. CARREGADEIRA SEM (1º E 2º)</t>
  </si>
  <si>
    <t>FIAT/STRADA FREEDOM 13CS- RMM</t>
  </si>
  <si>
    <t>AMORTECEDOR TRASEIROS</t>
  </si>
  <si>
    <t xml:space="preserve">AMORTECEDOR DIANTEIROS </t>
  </si>
  <si>
    <t>CASA DO FIAT</t>
  </si>
  <si>
    <t>COMERCIAL FIAT</t>
  </si>
  <si>
    <t>3199468-0044</t>
  </si>
  <si>
    <t>ODILON</t>
  </si>
  <si>
    <t>CAPUTO</t>
  </si>
  <si>
    <t>31 3363-7373</t>
  </si>
  <si>
    <t>CAP PEÇAS</t>
  </si>
  <si>
    <t>31 99779-3463</t>
  </si>
  <si>
    <t>12/01- 2 BATERIAS 100AH</t>
  </si>
  <si>
    <t xml:space="preserve">12/01 ONIBUS </t>
  </si>
  <si>
    <t>GUSTAVO BATERIAS</t>
  </si>
  <si>
    <t>2 BATERIAS 100AH</t>
  </si>
  <si>
    <t>BOMBA DE OLEO LUBRIFICANTE 10L (MANUAL)</t>
  </si>
  <si>
    <t>JANDER</t>
  </si>
  <si>
    <t>US 150X50X4.75</t>
  </si>
  <si>
    <t>US 138X40X2.25</t>
  </si>
  <si>
    <t>US  150X50X3</t>
  </si>
  <si>
    <t>US  140X40X4.75</t>
  </si>
  <si>
    <t>L 76X76X8</t>
  </si>
  <si>
    <t>L 140X40X2</t>
  </si>
  <si>
    <t>JALK</t>
  </si>
  <si>
    <t>2 PONTEIRA INFERIOR</t>
  </si>
  <si>
    <t>2 PONTEIRA SUPERIOR</t>
  </si>
  <si>
    <t>13/01/2026 L200</t>
  </si>
  <si>
    <t>13/01/2025 HB20 PRATA (RVK)</t>
  </si>
  <si>
    <t>1 JG PASTILHA DE FREIO DIANTEIRO</t>
  </si>
  <si>
    <t>ODILON PEÇAS</t>
  </si>
  <si>
    <t xml:space="preserve">14/01/2025 FILTROS BOMAG / DINAPAC </t>
  </si>
  <si>
    <t>FF5421</t>
  </si>
  <si>
    <t>DELREY</t>
  </si>
  <si>
    <t>P553004( WK731)</t>
  </si>
  <si>
    <t>CLAUDIO BUSCOU</t>
  </si>
  <si>
    <t>14/01/2026 l200</t>
  </si>
  <si>
    <t>JG DE PASTILHA DIANTEIRA</t>
  </si>
  <si>
    <t>ROLAMENTO CENTRO CARDÃ</t>
  </si>
  <si>
    <t xml:space="preserve">BATENTE DO LEQUE </t>
  </si>
  <si>
    <t>BUCHA DAS MOLAS TRASEIRAS</t>
  </si>
  <si>
    <t>OLEO FREIO DOT4 500ML</t>
  </si>
  <si>
    <t>P553004 ( WK731)</t>
  </si>
  <si>
    <t>14/01/2026 TRATOR DE ESTEIRA TE01</t>
  </si>
  <si>
    <t>600-185-4100-  Conj. Do Filtro De Ar Int./Ext</t>
  </si>
  <si>
    <t>600-319-3750- Filtro De Combustível</t>
  </si>
  <si>
    <t>MASON</t>
  </si>
  <si>
    <t>15/01/2026 L200</t>
  </si>
  <si>
    <t>4 BUCHAS DO SUPORTE DO ESTABILIZADOR</t>
  </si>
  <si>
    <t>2 CINTAS 3TON 1MT 7/1</t>
  </si>
  <si>
    <t>3 ANILHAS 3TON 3/4</t>
  </si>
  <si>
    <t>BH CINTAS</t>
  </si>
  <si>
    <t>MINAS CORRENTES</t>
  </si>
  <si>
    <t>MAX CINTAS</t>
  </si>
  <si>
    <t>TECNO CINTAS</t>
  </si>
  <si>
    <t>3TON/ 1,5M/ 7/1</t>
  </si>
  <si>
    <t>3TON/ 1M/ 7/1</t>
  </si>
  <si>
    <t>4,75TON/ 3/4</t>
  </si>
  <si>
    <t>3TON/ 2MTS/ 90MM/ 7/1</t>
  </si>
  <si>
    <t>DESCRIÇÕES</t>
  </si>
  <si>
    <t>4,75/ 3/4/</t>
  </si>
  <si>
    <t xml:space="preserve">15/01/2026 OXIGENIO </t>
  </si>
  <si>
    <t>OXILING</t>
  </si>
  <si>
    <t>15/01/2025 CINTAS</t>
  </si>
  <si>
    <t>NÃO ENTREGA/BH</t>
  </si>
  <si>
    <t>CONTAGEM</t>
  </si>
  <si>
    <t>BH</t>
  </si>
  <si>
    <t>BOMBAS ANDRADE</t>
  </si>
  <si>
    <t>GASCOM</t>
  </si>
  <si>
    <t>15/01/2026  IMPL. CAMINHÃO COMBOIO NOVO</t>
  </si>
  <si>
    <t>CONFERMETA</t>
  </si>
  <si>
    <t>RETROVISOR HB20 BRANCO</t>
  </si>
  <si>
    <t>L200 225/75/R16</t>
  </si>
  <si>
    <t>245/70 R16</t>
  </si>
  <si>
    <t>LRX</t>
  </si>
  <si>
    <t>MINAS PNEUS</t>
  </si>
  <si>
    <t>SPEED</t>
  </si>
  <si>
    <t>ITARO IMPORT</t>
  </si>
  <si>
    <t>629,99 AV</t>
  </si>
  <si>
    <t>654,99 30D</t>
  </si>
  <si>
    <t>LANVIGATOR</t>
  </si>
  <si>
    <t>20/01/2026 VIGA</t>
  </si>
  <si>
    <t>VIGA W 250X32.9 BARRA 6MTS</t>
  </si>
  <si>
    <t xml:space="preserve">1 CILINDRO 17/01 </t>
  </si>
  <si>
    <t>1 CILINDRO 15/01</t>
  </si>
  <si>
    <t>1 MISTURA 17/01</t>
  </si>
  <si>
    <t>1 CILINDRO 20/01</t>
  </si>
  <si>
    <t>20/01/2025 CINTAS</t>
  </si>
  <si>
    <t>2 TENSIONADOR DE CORRENTE CATRACA 1/2-5/8 5.900G</t>
  </si>
  <si>
    <t>PEÇAS USADAS L200  07/01</t>
  </si>
  <si>
    <t>PARACHOQUE</t>
  </si>
  <si>
    <t>PARALAMA DIREITO</t>
  </si>
  <si>
    <t>GRANDE DIANTEIRA</t>
  </si>
  <si>
    <t>EXPRESSA PICKUP</t>
  </si>
  <si>
    <t>PSL 327</t>
  </si>
  <si>
    <t>JFC-901</t>
  </si>
  <si>
    <t>L200/F. DIESEL</t>
  </si>
  <si>
    <t>L200/F.LUBRIFICANTE</t>
  </si>
  <si>
    <t>FATURADO 14 D</t>
  </si>
  <si>
    <t>CIF</t>
  </si>
  <si>
    <t xml:space="preserve">12 DIAS </t>
  </si>
  <si>
    <t>EDUARDO REDE HG</t>
  </si>
  <si>
    <t>(33) 99852-2498</t>
  </si>
  <si>
    <t>JUNTA SAIDA COLETOR P/ DESCARGA</t>
  </si>
  <si>
    <t>RETRO ESCAVADEIRA JCB    22/01/2026</t>
  </si>
  <si>
    <t>PNEU STORE</t>
  </si>
  <si>
    <t>BARUM</t>
  </si>
  <si>
    <t>UNO FIRE 2009</t>
  </si>
  <si>
    <t>4 VELAS</t>
  </si>
  <si>
    <t xml:space="preserve">1 CABO DE VELA </t>
  </si>
  <si>
    <t>THAIS ALESAT</t>
  </si>
  <si>
    <t>(31) 97330-5111</t>
  </si>
  <si>
    <t>L200 22/01/2026</t>
  </si>
  <si>
    <t>1 FILTRO DE AR LX1687/1</t>
  </si>
  <si>
    <t>REFORDIESEL</t>
  </si>
  <si>
    <t>VITUAL</t>
  </si>
  <si>
    <t>FILTRO AR</t>
  </si>
  <si>
    <t>LX1687/1</t>
  </si>
  <si>
    <t>F. LUBRIFICANTE</t>
  </si>
  <si>
    <t>22/01/2026 ACTIOIL 1L</t>
  </si>
  <si>
    <t>SOTREC</t>
  </si>
  <si>
    <t>15 ACTIOIL  = 191,47</t>
  </si>
  <si>
    <t>DOC OK</t>
  </si>
  <si>
    <t>usou 1</t>
  </si>
  <si>
    <t xml:space="preserve"> ROLLO MULLER/BOMAG</t>
  </si>
  <si>
    <t>6 MESES COMPRA OUTRO JANEIRO</t>
  </si>
  <si>
    <t>OBSERAÇÃO</t>
  </si>
  <si>
    <t>26/01/2026 COMBOIO</t>
  </si>
  <si>
    <t>ESPARGIPEÇAS</t>
  </si>
  <si>
    <t>OBSERVAÇÃO</t>
  </si>
  <si>
    <t>2,30X3</t>
  </si>
  <si>
    <t>25MTS</t>
  </si>
  <si>
    <t>TBA TECNOLOGIA</t>
  </si>
  <si>
    <t>BORRACHA DE BAGAGEIRO</t>
  </si>
  <si>
    <t>RP01 BOMAG 14/01</t>
  </si>
  <si>
    <t>RP02 DYNAPAC 14/01</t>
  </si>
  <si>
    <t>ALAVANCA (OBRA)</t>
  </si>
  <si>
    <t>15/01/2025 AGERA</t>
  </si>
  <si>
    <t>MINAS IMPORTS</t>
  </si>
  <si>
    <t>MARLLUS</t>
  </si>
  <si>
    <t>IMPACTO</t>
  </si>
  <si>
    <t>LOG</t>
  </si>
  <si>
    <t>2 AMORTECEDOR TRASEIRO</t>
  </si>
  <si>
    <t xml:space="preserve">MESMA EMPRESA </t>
  </si>
  <si>
    <t>22/01/2026 DIESEL S10-G28 5.000L</t>
  </si>
  <si>
    <t>OLEOS 27/01/2026</t>
  </si>
  <si>
    <t>15W30</t>
  </si>
  <si>
    <t>OLEO 68</t>
  </si>
  <si>
    <t>CARLOS VIBRA</t>
  </si>
  <si>
    <t>99985-5766</t>
  </si>
  <si>
    <t>CINTIA ALE</t>
  </si>
  <si>
    <t>(84) 99670-0005</t>
  </si>
  <si>
    <t>27/01/2026 -  TE01 AGERA</t>
  </si>
  <si>
    <t>FILTRO: 600-319-3610</t>
  </si>
  <si>
    <t>FILTRO: 6736-51-5142</t>
  </si>
  <si>
    <t>28/01/2026 CARREGADEIRA BOMAQ</t>
  </si>
  <si>
    <t xml:space="preserve">DELREY </t>
  </si>
  <si>
    <t>1 FILTRO DE AR MX 5453</t>
  </si>
  <si>
    <t>ANDRE DECLUB</t>
  </si>
  <si>
    <t>98458-7214</t>
  </si>
  <si>
    <t>5W30</t>
  </si>
  <si>
    <t>1 BD</t>
  </si>
  <si>
    <t>SAE 10W</t>
  </si>
  <si>
    <t>28/01/2026 PATROL</t>
  </si>
  <si>
    <t>MANGUEIRA</t>
  </si>
  <si>
    <t>PEMAC</t>
  </si>
  <si>
    <t>BUCHA DO LEQUE SUPERIOR</t>
  </si>
  <si>
    <t>BUCHA DO LEQUE INFERIOR</t>
  </si>
  <si>
    <t>PONTEIRA SUPERIOR</t>
  </si>
  <si>
    <t>PONTEIRA INFERIOR</t>
  </si>
  <si>
    <t>BUCHA DO FEIXO DE MOLA TRASEIRO</t>
  </si>
  <si>
    <t>PASTILHAS DE FREIO DIANTEIRA</t>
  </si>
  <si>
    <t>LONA DE FREIO TRASEIRA</t>
  </si>
  <si>
    <t>TAMBOR DE FREIO TRASEIRA</t>
  </si>
  <si>
    <t>29/01/2026 D20 (PEÇAS) 1993</t>
  </si>
  <si>
    <t>MAP CHEVROLET</t>
  </si>
  <si>
    <t>200L</t>
  </si>
  <si>
    <t>NORTE AUTO PEÇAS</t>
  </si>
  <si>
    <t>FILTRO DE AR EXTERNO ( 12Y-979-1174 ) MX9659</t>
  </si>
  <si>
    <t>FILTRO AR COND. ( 12Y-979-6180 )  MX9559</t>
  </si>
  <si>
    <t xml:space="preserve">             27/01/2026 AGERA</t>
  </si>
  <si>
    <t>BOMBA DE OLEO</t>
  </si>
  <si>
    <t>28/01/2026  COMBOIO / TAMBOR 200L</t>
  </si>
  <si>
    <t>MAP</t>
  </si>
  <si>
    <t>NORTE</t>
  </si>
  <si>
    <t>31 97185-3839</t>
  </si>
  <si>
    <t>3199304-3000</t>
  </si>
  <si>
    <t>3499637-6624</t>
  </si>
  <si>
    <t>ÓLEO DE GORDURA ANIMAL E VEGETAL RECUPERADO</t>
  </si>
  <si>
    <t>ÓLEO BH</t>
  </si>
  <si>
    <t>MG ÓLEO</t>
  </si>
  <si>
    <t>LITRO</t>
  </si>
  <si>
    <t>PLANETA</t>
  </si>
  <si>
    <t>BIOSFERA - Uberlandia</t>
  </si>
  <si>
    <t>3.000L</t>
  </si>
  <si>
    <t>VR DIESEL 5,40</t>
  </si>
  <si>
    <t>29/01/2026 DIESEL S10 (MINASFALTO)</t>
  </si>
  <si>
    <t>INNOVA</t>
  </si>
  <si>
    <t>MULTIROL</t>
  </si>
  <si>
    <t>JOYSTICK VIBRO 2012</t>
  </si>
  <si>
    <t>GRUPO INOVA</t>
  </si>
  <si>
    <t xml:space="preserve">MERCAO LIVRE </t>
  </si>
  <si>
    <t>DIMENCIONAL</t>
  </si>
  <si>
    <t>INOVA MAQUINAS</t>
  </si>
  <si>
    <t>HIDEX</t>
  </si>
  <si>
    <t>FEVEREIRO</t>
  </si>
  <si>
    <t>02/02/2026 ACABADORA 2009</t>
  </si>
  <si>
    <t>6  COXIM</t>
  </si>
  <si>
    <t>REFIL (GALPÃO)</t>
  </si>
  <si>
    <t>FITRO 731 (USINA)</t>
  </si>
  <si>
    <t>BLUE BEBEDOUROS</t>
  </si>
  <si>
    <t>3643-8463</t>
  </si>
  <si>
    <t xml:space="preserve">  BEBEDOURO</t>
  </si>
  <si>
    <t>pedir novo em 02/08</t>
  </si>
  <si>
    <t>10 COXIM</t>
  </si>
  <si>
    <t>03/02/2026 ACABADORA 2009</t>
  </si>
  <si>
    <t>04/02/2026 D20 1993</t>
  </si>
  <si>
    <t xml:space="preserve">PONTEIRA </t>
  </si>
  <si>
    <t>TAMBOR DE FREIO</t>
  </si>
  <si>
    <t>03/02/2026  DIESEL S10 (G28)</t>
  </si>
  <si>
    <t>RIO BRANCO</t>
  </si>
  <si>
    <t>15 DD</t>
  </si>
  <si>
    <t>JUPEL</t>
  </si>
  <si>
    <t>13 DD</t>
  </si>
  <si>
    <t>VR DIESEL</t>
  </si>
  <si>
    <t>14 DD</t>
  </si>
  <si>
    <t>REDE HG</t>
  </si>
  <si>
    <t>VALOR LT</t>
  </si>
  <si>
    <t>FATURAMENTO</t>
  </si>
  <si>
    <t>6 UND</t>
  </si>
  <si>
    <t>MARCIO DECLUB</t>
  </si>
  <si>
    <t>OLEO ISO 320</t>
  </si>
  <si>
    <t>CHEGOU OUTRO KIT 04/02</t>
  </si>
  <si>
    <t>1 UND</t>
  </si>
  <si>
    <t>05/02/2026 FERRAGEM</t>
  </si>
  <si>
    <t xml:space="preserve">05/02/2026  BLOCOS </t>
  </si>
  <si>
    <t>0.20 VAZADO</t>
  </si>
  <si>
    <t>0.20 MEIO/VAZADO</t>
  </si>
  <si>
    <t>AÇONIL</t>
  </si>
  <si>
    <t>BLOJAF/ OC 355</t>
  </si>
  <si>
    <t>OK</t>
  </si>
  <si>
    <t>100,00 FRETE</t>
  </si>
  <si>
    <t>TOTAL/ OC 356</t>
  </si>
  <si>
    <t>BARRA 3/8 OU 10MM</t>
  </si>
  <si>
    <t>FILTRO DE AR (AP 2710 FILTRO DE PC 1)</t>
  </si>
  <si>
    <t>FILTRO DIESEL (OC 324 FILTRO LUBRIFICANTE PC 1)</t>
  </si>
  <si>
    <t>FILTRO MOTOR  (KX 24 FILTRO COMBUSTIVEL PC 1)</t>
  </si>
  <si>
    <t>sapata</t>
  </si>
  <si>
    <t>05/02/2026 PATROL</t>
  </si>
  <si>
    <t>CAMISA</t>
  </si>
  <si>
    <t xml:space="preserve">JUNTA DO CARTER </t>
  </si>
  <si>
    <t>JG DE ANEIS DE SEGUIMENTO</t>
  </si>
  <si>
    <t>ANEL</t>
  </si>
  <si>
    <t>FILTRO DE AGUA</t>
  </si>
  <si>
    <t>FILTRO FF5052</t>
  </si>
  <si>
    <t>FILTRO FS1280</t>
  </si>
  <si>
    <t>SO OS FILTROS</t>
  </si>
  <si>
    <t>FILTRO DE AGUA (WA9 MULTI 1116)</t>
  </si>
  <si>
    <t>SULAMERICA</t>
  </si>
  <si>
    <t>RICAMBI</t>
  </si>
  <si>
    <t>VEMINAS</t>
  </si>
  <si>
    <t>PISTÃO</t>
  </si>
  <si>
    <t>JUNTA DE CABEÇOTE (ORIGINAL)</t>
  </si>
  <si>
    <t>XMIX</t>
  </si>
  <si>
    <t>MANGUEIRA DO RADIADOR (SAIDA)</t>
  </si>
  <si>
    <t>ENTREGUE</t>
  </si>
  <si>
    <t>06/02/2026 STRADA SIX</t>
  </si>
  <si>
    <t>ALAVANCA DE MARCA</t>
  </si>
  <si>
    <t>TANQUE DE EXPANSÃO</t>
  </si>
  <si>
    <t>10/02/2026 D20 1993</t>
  </si>
  <si>
    <t>REGULADOR DE FREIO TRASEIRO</t>
  </si>
  <si>
    <t>10/02/2026 HB20 PRATA</t>
  </si>
  <si>
    <t>PALHETA DE PARABRISA</t>
  </si>
  <si>
    <t>10/02/2026 STRADA RTQ</t>
  </si>
  <si>
    <t>CORDA DO PORTA MALAS</t>
  </si>
  <si>
    <t xml:space="preserve">09/02/2026 PEÇAS </t>
  </si>
  <si>
    <t>INSULFILM (PRANCHA)</t>
  </si>
  <si>
    <t>ESPELHO RETROVISOR EXTERNO (UNIVERSAL) (BOMAG)</t>
  </si>
  <si>
    <t>ESPELHO RAMPA VW MAN ORIGINAL (PRANCHA)</t>
  </si>
  <si>
    <t>LATERNA LATERAL BAU QUADRADA (ESPARGIDOR)</t>
  </si>
  <si>
    <t>LENTE LATERAL DELEMITADORA AMARELA (ESPARGIDOR)</t>
  </si>
  <si>
    <t>MINI FAROIS DE MILHA  14LEDS (ONIBUS)</t>
  </si>
  <si>
    <t>BH ACESSORIOS</t>
  </si>
  <si>
    <t>10/02/2026 EXTINTOR</t>
  </si>
  <si>
    <t>1 RECARGA ABC SECO 8KG</t>
  </si>
  <si>
    <t>1 SUPORTE PRA 2KG</t>
  </si>
  <si>
    <t>EXTINFRAN</t>
  </si>
  <si>
    <t>11/02/2026 D20 1993</t>
  </si>
  <si>
    <t>MOTOR DO VENTILADOR DO AR COND.</t>
  </si>
  <si>
    <t>MERCADO LIVRE</t>
  </si>
  <si>
    <t>11/02/2026 FILTRO</t>
  </si>
  <si>
    <t>STIHL 2421040</t>
  </si>
  <si>
    <t>BAMAQ</t>
  </si>
  <si>
    <t>AZ HIDRAULICA</t>
  </si>
  <si>
    <t>VALVULA DE PRESSÃO</t>
  </si>
  <si>
    <t>11/02/2026 HEDESA</t>
  </si>
  <si>
    <t>11/02/2026 SEM</t>
  </si>
  <si>
    <t>CORREIA AV 1325</t>
  </si>
  <si>
    <t>BH CORREIAS PADRE EUST.</t>
  </si>
  <si>
    <t>BARÃO</t>
  </si>
  <si>
    <t xml:space="preserve">12/02/2026   PELLET </t>
  </si>
  <si>
    <t>15 ton</t>
  </si>
  <si>
    <t>PELLETBRAS</t>
  </si>
  <si>
    <t>CAP. PERFECT COUROS</t>
  </si>
  <si>
    <t>Av. Juscelino Kubitscheck, 446 – Industrial, Contagem – MG</t>
  </si>
  <si>
    <t>AVENIDA SANTA TEREZINHA 1450 BH</t>
  </si>
  <si>
    <t>MATHEUS</t>
  </si>
  <si>
    <t>RUA JOSE DINIZ MAIA 276 FUNCIONARIOS CONTAGEM</t>
  </si>
  <si>
    <t>ENDEREÇO</t>
  </si>
  <si>
    <t>99800-6067</t>
  </si>
  <si>
    <t>99174-3436</t>
  </si>
  <si>
    <t>99134-2370</t>
  </si>
  <si>
    <t>12/02/2026 FORD CARGO 1832 E</t>
  </si>
  <si>
    <t>3 INTERNET</t>
  </si>
  <si>
    <t>1 INTERNET</t>
  </si>
  <si>
    <t>FAROL ESPARGIDOR - VW 17.280 (2017/2018)</t>
  </si>
  <si>
    <t>1 PAR</t>
  </si>
  <si>
    <r>
      <t xml:space="preserve">FAROL LED TRASEIRO </t>
    </r>
    <r>
      <rPr>
        <sz val="11"/>
        <color rgb="FFFF0000"/>
        <rFont val="Aptos Narrow"/>
        <family val="2"/>
        <scheme val="minor"/>
      </rPr>
      <t>(BOMAG)</t>
    </r>
  </si>
  <si>
    <r>
      <t xml:space="preserve"> LANTERNA TRASEIRA </t>
    </r>
    <r>
      <rPr>
        <sz val="11"/>
        <color rgb="FFFF0000"/>
        <rFont val="Aptos Narrow"/>
        <family val="2"/>
        <scheme val="minor"/>
      </rPr>
      <t>(BOMAG)</t>
    </r>
  </si>
  <si>
    <r>
      <t xml:space="preserve">BORRACHA CORVIM </t>
    </r>
    <r>
      <rPr>
        <sz val="11"/>
        <color rgb="FFFF0000"/>
        <rFont val="Aptos Narrow"/>
        <family val="2"/>
        <scheme val="minor"/>
      </rPr>
      <t>(BOMAG)</t>
    </r>
  </si>
  <si>
    <t>MATHEUS JUPEL</t>
  </si>
  <si>
    <t>13/02 DIESEL S10 3.000l</t>
  </si>
  <si>
    <t>10W30 CAIXA DE TRANSMISSÃO</t>
  </si>
  <si>
    <t>LAMPADA 24v</t>
  </si>
  <si>
    <t>LAMPADA 12v</t>
  </si>
  <si>
    <t>DIPS</t>
  </si>
  <si>
    <t xml:space="preserve">19/02/2026 STRADA SHR </t>
  </si>
  <si>
    <t>3363-7373</t>
  </si>
  <si>
    <t xml:space="preserve">ODILON </t>
  </si>
  <si>
    <t>31 99845-7040</t>
  </si>
  <si>
    <t>DEVIGILI</t>
  </si>
  <si>
    <t>ORIGINAL</t>
  </si>
  <si>
    <t>OBS:</t>
  </si>
  <si>
    <t>ORGINAL MOPAR</t>
  </si>
  <si>
    <t>AUTOMAX RAJA</t>
  </si>
  <si>
    <t>LIQUIDA</t>
  </si>
  <si>
    <t>JOSE GERALDO DUQUE</t>
  </si>
  <si>
    <t>AUTO POSTO MAQUINE</t>
  </si>
  <si>
    <t>ESPETO E CHOPP DO GERALDO</t>
  </si>
  <si>
    <t>NOME FANTASIA</t>
  </si>
  <si>
    <t>31 989265283</t>
  </si>
  <si>
    <t>CAP JP REFORMA</t>
  </si>
  <si>
    <t>SHELL / TAMBOR 209L</t>
  </si>
  <si>
    <t>DELLAS / BALDE 20L</t>
  </si>
  <si>
    <t>SUBSTITUI</t>
  </si>
  <si>
    <t>SPIRAX S4 CX 50</t>
  </si>
  <si>
    <t>LUBRAX GRANS TAC-4 50</t>
  </si>
  <si>
    <t>639,22 BD 20L</t>
  </si>
  <si>
    <r>
      <t xml:space="preserve">19/02/2026     ÓLEO             </t>
    </r>
    <r>
      <rPr>
        <b/>
        <sz val="12"/>
        <color theme="1"/>
        <rFont val="Aptos Narrow"/>
        <family val="2"/>
        <scheme val="minor"/>
      </rPr>
      <t>REF:      SAE 50 CATERPILLAR</t>
    </r>
  </si>
  <si>
    <t>SOTREQ</t>
  </si>
  <si>
    <t xml:space="preserve">20/02/2026 ÓLEO </t>
  </si>
  <si>
    <t>CAT TDTO50 4L (TRANSMISSÃO)</t>
  </si>
  <si>
    <t>LUBRAX  / BALDE 20L</t>
  </si>
  <si>
    <t>1Litro</t>
  </si>
  <si>
    <t>20Litros</t>
  </si>
  <si>
    <t>200Litros</t>
  </si>
  <si>
    <t>PRAZO</t>
  </si>
  <si>
    <t>4 DIAS</t>
  </si>
  <si>
    <t xml:space="preserve">DIREFERENÇA VLR DO LITRO </t>
  </si>
  <si>
    <t>20/02/2025 CINTAS</t>
  </si>
  <si>
    <t xml:space="preserve">2 CINTAS 5TON 6MT </t>
  </si>
  <si>
    <t>TAMBOR DA CHAVE C/CHAVE</t>
  </si>
  <si>
    <t>20/02/2026 RETROESCAVADEIRA JCB 3C</t>
  </si>
  <si>
    <t xml:space="preserve">VALENCE MAQUINAS </t>
  </si>
  <si>
    <t>CABOSCAR</t>
  </si>
  <si>
    <t>MAX CINTAS (CONTAGEM)</t>
  </si>
  <si>
    <t>50/50</t>
  </si>
  <si>
    <t>31 989265283 - 3299-0908 RAIMUNDO</t>
  </si>
  <si>
    <t>23/02/2026 ROSSADEIRA</t>
  </si>
  <si>
    <t xml:space="preserve">AUTOMATICO </t>
  </si>
  <si>
    <t>MANUAL</t>
  </si>
  <si>
    <t>FILIPE / REMOTO STIHL</t>
  </si>
  <si>
    <t>3292-7335</t>
  </si>
  <si>
    <t>3394-0104</t>
  </si>
  <si>
    <t>CARRETEL STIHL F220</t>
  </si>
  <si>
    <t>MINAS PNEU CEASA</t>
  </si>
  <si>
    <t xml:space="preserve">23/02/2026 D20 </t>
  </si>
  <si>
    <t xml:space="preserve"> 2 PNEUS 255/75R15</t>
  </si>
  <si>
    <t>3394-7879</t>
  </si>
  <si>
    <t>99385-0134</t>
  </si>
  <si>
    <t>INTERNET</t>
  </si>
  <si>
    <t>FIRESTONE ATX</t>
  </si>
  <si>
    <t>FIRESTONE H/T</t>
  </si>
  <si>
    <t>KELLY BY GOODYEAR</t>
  </si>
  <si>
    <t>99276-5449</t>
  </si>
  <si>
    <t>205,00    5MTS</t>
  </si>
  <si>
    <t>167,00     5MTS</t>
  </si>
  <si>
    <t>166,00    11MTS</t>
  </si>
  <si>
    <t>135,00    6MTS</t>
  </si>
  <si>
    <t>2,5 67,74</t>
  </si>
  <si>
    <t>67,74      2,5MTS</t>
  </si>
  <si>
    <t>****</t>
  </si>
  <si>
    <t>ESMERIL 220 INDISTRIAL</t>
  </si>
  <si>
    <t>TAMBASA / SIMPLES</t>
  </si>
  <si>
    <t>1/2 CV 220V 360W MOTOM</t>
  </si>
  <si>
    <t>1CV 220V MONOFASICO MOTOMIL</t>
  </si>
  <si>
    <t>1CV 220V MONOFASICO BREMEN</t>
  </si>
  <si>
    <t>MINAS FERRAMENTAS</t>
  </si>
  <si>
    <t>24/02/2026 USINA</t>
  </si>
  <si>
    <t>MANCAL F208</t>
  </si>
  <si>
    <t>CONFERMETA HIDRAULICA</t>
  </si>
  <si>
    <t>24/02/2026 MATERIAIS DE LIMPEZA</t>
  </si>
  <si>
    <t>MARC SUPER</t>
  </si>
  <si>
    <t>NYLON 3MM 300mts</t>
  </si>
  <si>
    <t xml:space="preserve">CARRETEL STIHL F220 (AUTOMATICO) </t>
  </si>
  <si>
    <t>total:</t>
  </si>
  <si>
    <t>25/02/2026 Mauro (Pix)</t>
  </si>
  <si>
    <t>30dd</t>
  </si>
  <si>
    <t>CAPA PADRÃO (4200)</t>
  </si>
  <si>
    <t>CONJUNTO VENTILADO (3120)</t>
  </si>
  <si>
    <t>CALÇA IMPERMEAVEL (0020)</t>
  </si>
  <si>
    <t>25/02/2026 IMPERMEAVEIS (USINA / BARÃO)</t>
  </si>
  <si>
    <t>IMA</t>
  </si>
  <si>
    <t>Work SAFETY</t>
  </si>
  <si>
    <t>TEC ELITE</t>
  </si>
  <si>
    <t>25/02/2026 USINA</t>
  </si>
  <si>
    <t>VALVULA DE SELENOIDE (BO-0430 230V RAC 17W)</t>
  </si>
  <si>
    <t>WK950/6</t>
  </si>
  <si>
    <t>EC 0296</t>
  </si>
  <si>
    <t>P550881</t>
  </si>
  <si>
    <t>25/02/2026 FILTROS RETROESCAVADEIRA JCB</t>
  </si>
  <si>
    <t>TURBINA</t>
  </si>
  <si>
    <t xml:space="preserve">PISTÃO DE LEVANTAS CABINE </t>
  </si>
  <si>
    <t>25/02/2026 PRANCHA ( IVECO 240E25 BITRUCK - 2010)</t>
  </si>
  <si>
    <t xml:space="preserve">NE ASSISTENCIA </t>
  </si>
  <si>
    <t>BOBINA</t>
  </si>
  <si>
    <t>PLACA DE CIRCUITO</t>
  </si>
  <si>
    <t>CP GAS</t>
  </si>
  <si>
    <t xml:space="preserve">M&amp;A </t>
  </si>
  <si>
    <t>26/02/2026 GALPÃO</t>
  </si>
  <si>
    <t>RALO INOX 10X10 (BANHEIRO MASC.)</t>
  </si>
  <si>
    <t>frete</t>
  </si>
  <si>
    <t>GRAND LUB</t>
  </si>
  <si>
    <t>PRESSOTATO</t>
  </si>
  <si>
    <t>26/02 GALÕES</t>
  </si>
  <si>
    <t>4 GALÕES DE 50L</t>
  </si>
  <si>
    <t>27/02/2026 FORD 1832E</t>
  </si>
  <si>
    <t>MAQUININHA VIDRO (PASSAGEIRO)</t>
  </si>
  <si>
    <t>PUCHADOR INTERNO (MOTORISTA)</t>
  </si>
  <si>
    <t>KAFONA</t>
  </si>
  <si>
    <t>550001734 ACTIOIL 1L</t>
  </si>
  <si>
    <t>0192101-6372   Alex</t>
  </si>
  <si>
    <t>02/03/2026 SEM</t>
  </si>
  <si>
    <t xml:space="preserve">ARRANQUE </t>
  </si>
  <si>
    <t>RGS</t>
  </si>
  <si>
    <t xml:space="preserve">AEC </t>
  </si>
  <si>
    <t>99423-1167</t>
  </si>
  <si>
    <t>HYDROSYSTEM 46 HV NT</t>
  </si>
  <si>
    <t xml:space="preserve">ART SOLDAS </t>
  </si>
  <si>
    <t xml:space="preserve">02/03/2026 TAMPA LATERAL </t>
  </si>
  <si>
    <t>ESCAVADEIRA HIDRAULICA CATERPILLAR 366 - 2025</t>
  </si>
  <si>
    <t>9756-3784</t>
  </si>
  <si>
    <t>AVANTE</t>
  </si>
  <si>
    <t>1199575-1759</t>
  </si>
  <si>
    <t xml:space="preserve">ITALPRATES </t>
  </si>
  <si>
    <t>RUI SOLDAS</t>
  </si>
  <si>
    <t>99793-4923</t>
  </si>
  <si>
    <t xml:space="preserve">LG SOLDAS </t>
  </si>
  <si>
    <t>99764-2408 TIAGO</t>
  </si>
  <si>
    <t>TOTAL 3KG</t>
  </si>
  <si>
    <t>OK 55 3,25 ESAB 3KG</t>
  </si>
  <si>
    <t>DESC 303,50</t>
  </si>
  <si>
    <t>MARÇO</t>
  </si>
  <si>
    <t>OLEO HIDRAULICO 68</t>
  </si>
  <si>
    <t>02/03/2026 FERRAMENTAS</t>
  </si>
  <si>
    <t>PÁ CORAÇÃO</t>
  </si>
  <si>
    <t>ENCHADA</t>
  </si>
  <si>
    <t>MJS</t>
  </si>
  <si>
    <t>QTDADE</t>
  </si>
  <si>
    <t>SOTREQ 20L</t>
  </si>
  <si>
    <r>
      <t xml:space="preserve">02/03/2026 CARREGADEIRA NEW HOLLANDY   </t>
    </r>
    <r>
      <rPr>
        <b/>
        <sz val="11"/>
        <color rgb="FFFF0000"/>
        <rFont val="Aptos Narrow"/>
        <family val="2"/>
        <scheme val="minor"/>
      </rPr>
      <t>(SAE 30)</t>
    </r>
  </si>
  <si>
    <t>BAMAQ (HIDROSYSTEM 46 -20L)</t>
  </si>
  <si>
    <t>DELLAS (LUBRAX) (Lubrax Hydra HV 46 - 20L )</t>
  </si>
  <si>
    <t>DEC LUB (SHELL) (TELLUS S3 V 46 - TB 209L)</t>
  </si>
  <si>
    <t>USO E CONSUMO USINA</t>
  </si>
  <si>
    <t>PIX JÁ FEITO</t>
  </si>
  <si>
    <t>03/03/2026 IVECO 240E25 BITRUCK 2010</t>
  </si>
  <si>
    <t>COMPRESSOR DE AR</t>
  </si>
  <si>
    <t>JOAO BATISTA</t>
  </si>
  <si>
    <t>DIESEL S10 04/03</t>
  </si>
  <si>
    <t>MINASFALTO</t>
  </si>
  <si>
    <t>MATEUS XAVIER JUPEL</t>
  </si>
  <si>
    <t xml:space="preserve"> </t>
  </si>
  <si>
    <t>MASTER PLAZZA ( 32  3339-4770 )</t>
  </si>
  <si>
    <t>SEM AR</t>
  </si>
  <si>
    <t>COM AR</t>
  </si>
  <si>
    <t>DEL REY ( 032 33315310)</t>
  </si>
  <si>
    <t>HOTEL MIRANELE (032 33317900)</t>
  </si>
  <si>
    <t>HOTEL ESCOLA SENAC (032 33393100)</t>
  </si>
  <si>
    <t xml:space="preserve">HOTEL ALIANÇA </t>
  </si>
  <si>
    <t xml:space="preserve">PREVISÃO DE ENTREGA </t>
  </si>
  <si>
    <t>04/03/2026 OU 05/03/2026</t>
  </si>
  <si>
    <t>NÃO ENTREGA 3.000L</t>
  </si>
  <si>
    <t>VENTILADOR</t>
  </si>
  <si>
    <t>CASAL + 1 SOLTEIRO</t>
  </si>
  <si>
    <t>HOTEL BARBACENA (32 998671086)</t>
  </si>
  <si>
    <r>
      <t xml:space="preserve">LUCAPE </t>
    </r>
    <r>
      <rPr>
        <b/>
        <sz val="11"/>
        <color rgb="FFFF0000"/>
        <rFont val="Aptos Narrow"/>
        <family val="2"/>
        <scheme val="minor"/>
      </rPr>
      <t>(TELEONE NÃO COMPLETA)</t>
    </r>
  </si>
  <si>
    <t xml:space="preserve">     6,25               13DD</t>
  </si>
  <si>
    <t xml:space="preserve">    5,70              14DD</t>
  </si>
  <si>
    <t xml:space="preserve">     5,92             12DD</t>
  </si>
  <si>
    <t xml:space="preserve">    5,59                 15DD</t>
  </si>
  <si>
    <t>OC Minasfalto Industria e Comercio Ltda - 24.374.667/0001-12</t>
  </si>
  <si>
    <r>
      <t xml:space="preserve">04/03/2026 </t>
    </r>
    <r>
      <rPr>
        <b/>
        <sz val="11"/>
        <color rgb="FFFF0000"/>
        <rFont val="Aptos Narrow"/>
        <family val="2"/>
        <scheme val="minor"/>
      </rPr>
      <t>HOTEIS (1 DIARIA 2CM SOLT)</t>
    </r>
  </si>
  <si>
    <t>fechou  2.000l</t>
  </si>
  <si>
    <t>02/03/2026 ELETRODO</t>
  </si>
  <si>
    <t>Claudio buscou</t>
  </si>
  <si>
    <t>02/03/2026 PA CAERREGADEIRA 966L 2025</t>
  </si>
  <si>
    <t>ANEL DA CONCHA</t>
  </si>
  <si>
    <t>FILTRO P55-0881</t>
  </si>
  <si>
    <t>02/03/2026 FILTRO JCB</t>
  </si>
  <si>
    <t>27/02/2026 ELETRODO</t>
  </si>
  <si>
    <t>02/03/2026 SEM 618D</t>
  </si>
  <si>
    <t>ALENCAR FILTROS</t>
  </si>
  <si>
    <t xml:space="preserve">MOTOR DE ARRANQUE </t>
  </si>
  <si>
    <t>03/03/2026 PATROL RG 170B</t>
  </si>
  <si>
    <t>SENSOR DE TEMPERATURA</t>
  </si>
  <si>
    <t>PELLETBRAZ</t>
  </si>
  <si>
    <t>03/03/2026 PELLET (FECHAMENTO)</t>
  </si>
  <si>
    <t>14.000 TON</t>
  </si>
  <si>
    <t>CHEGOU 04/03</t>
  </si>
  <si>
    <t>16,870,00</t>
  </si>
  <si>
    <t>FRETE TERCEIRIZADO</t>
  </si>
  <si>
    <t>04/03/2026 USINA</t>
  </si>
  <si>
    <t>TOLDO DO GAS</t>
  </si>
  <si>
    <t>05/03/2026 COPASA/USINA</t>
  </si>
  <si>
    <t>KIT COPASA</t>
  </si>
  <si>
    <t>DEPOSITO CABRAL</t>
  </si>
  <si>
    <t>05/03/2026 USINA</t>
  </si>
  <si>
    <t>VALVULA  DE ALIVIO 1''</t>
  </si>
  <si>
    <t>05/03/2026 GALPÃO</t>
  </si>
  <si>
    <t>TAMPÃO 40</t>
  </si>
  <si>
    <t>RALO INOX 10X10</t>
  </si>
  <si>
    <t>300L</t>
  </si>
  <si>
    <t xml:space="preserve">     6,98              13DD</t>
  </si>
  <si>
    <t xml:space="preserve">     7,97               12DD</t>
  </si>
  <si>
    <t>LUCIANO PEÇAS</t>
  </si>
  <si>
    <t xml:space="preserve">06/03/2026  PEÇAS USADAS L200  </t>
  </si>
  <si>
    <t>09/03/2026 PATROL</t>
  </si>
  <si>
    <t xml:space="preserve">MANGEIRA </t>
  </si>
  <si>
    <t>ABRAÇADEIRA 120MM</t>
  </si>
  <si>
    <t>DIESEL S10 09/03</t>
  </si>
  <si>
    <t xml:space="preserve">  7,90               13DD</t>
  </si>
  <si>
    <t>8,70    dd</t>
  </si>
  <si>
    <t>10.000L</t>
  </si>
  <si>
    <t>S500</t>
  </si>
  <si>
    <t>7,56    5.000L</t>
  </si>
  <si>
    <t>7,64 10.000L</t>
  </si>
  <si>
    <t>ENTREGA</t>
  </si>
  <si>
    <t>Data: 10/03/2026</t>
  </si>
  <si>
    <t>Contato: GLADSON 31 97597-6300 - gladson.agr@outlook.com</t>
  </si>
  <si>
    <t>Prazo de pagamento: 12 DD</t>
  </si>
  <si>
    <t>Fornecedor do material: Repelub Revendedora de Petróleo e lubrificantes  - 06.048.777/0001-02</t>
  </si>
  <si>
    <t>DIESEL S10     10/03</t>
  </si>
  <si>
    <t>6.000L</t>
  </si>
  <si>
    <t>11/03/2026 CAIXAS SACOLÃO</t>
  </si>
  <si>
    <t xml:space="preserve">20 CAIXAS </t>
  </si>
  <si>
    <t>BUSCAR PEÇAS PORTÃO</t>
  </si>
  <si>
    <t>27/02/2026 FILTROS TE 01</t>
  </si>
  <si>
    <t xml:space="preserve">BUSCAR ESMERIL </t>
  </si>
  <si>
    <t>03/03/2026   PORTÃO USINA</t>
  </si>
  <si>
    <t>DOUGLAS INTEC</t>
  </si>
  <si>
    <t>ENGRENAEM</t>
  </si>
  <si>
    <t>ACOPLAMENTO (2 UNI )</t>
  </si>
  <si>
    <t>HIG E LOG</t>
  </si>
  <si>
    <t>17,00 CADA</t>
  </si>
  <si>
    <t>DIESEL S10 16/03</t>
  </si>
  <si>
    <t>FS1280 FILTRO DIESEL</t>
  </si>
  <si>
    <t>FF5052 FILTRO DIESEL</t>
  </si>
  <si>
    <t>LF3959 FILTRO LUBRIFICANTE</t>
  </si>
  <si>
    <t>AH1136 FILTRO DE AR</t>
  </si>
  <si>
    <t>FILTROS  16/03/2026</t>
  </si>
  <si>
    <t>ADRIANO (SHELL)</t>
  </si>
  <si>
    <t>RIMULA R3 EXTRA 15W40 CI-4 FR 20L</t>
  </si>
  <si>
    <t xml:space="preserve">PETROL API CI4 </t>
  </si>
  <si>
    <t xml:space="preserve">FELKE </t>
  </si>
  <si>
    <t>LUBRAX</t>
  </si>
  <si>
    <t>ARMÁRIOS EMBUTIDOS (COZINHA E BANHEIRO)</t>
  </si>
  <si>
    <t xml:space="preserve"> JD. CANADA </t>
  </si>
  <si>
    <t>JC IMOVEIS 3541-6203</t>
  </si>
  <si>
    <t xml:space="preserve">2 QUARTOS, COZINHA AMERICANA E BANHEIRO </t>
  </si>
  <si>
    <t>NÃO MOBILIADO</t>
  </si>
  <si>
    <t>CAMPOS GUIMARÃES 3198386-8716</t>
  </si>
  <si>
    <t xml:space="preserve">3 QUARTOS,SALA, COZINHA E BANHEIRO (2 ANDARES) </t>
  </si>
  <si>
    <t>JD. CANADA</t>
  </si>
  <si>
    <t>TIAGO 3199803-4008</t>
  </si>
  <si>
    <t xml:space="preserve">3 QUARTOS,SALA, COZINHA E BANHEIRO </t>
  </si>
  <si>
    <t>já alugado</t>
  </si>
  <si>
    <t>3197144-5521</t>
  </si>
  <si>
    <t xml:space="preserve">2 QUARTOS,SALA, COZINHA E BANHEIRO </t>
  </si>
  <si>
    <t>RUA TABER, 190, JD. CANADA I</t>
  </si>
  <si>
    <t>ELSON 7399971-6981</t>
  </si>
  <si>
    <t xml:space="preserve">3 QUARTOS, COZINHA E BANHEIRO </t>
  </si>
  <si>
    <t>RUA KANSAS, 108, JD CANADA</t>
  </si>
  <si>
    <t>WALTER 3199982-2317</t>
  </si>
  <si>
    <t>VALOR ALUGUEL</t>
  </si>
  <si>
    <t>REFERÊNCIA</t>
  </si>
  <si>
    <r>
      <t xml:space="preserve">17/03/2026 </t>
    </r>
    <r>
      <rPr>
        <b/>
        <sz val="11"/>
        <color rgb="FFFF0000"/>
        <rFont val="Aptos Narrow"/>
        <family val="2"/>
        <scheme val="minor"/>
      </rPr>
      <t>SAE 15W40</t>
    </r>
  </si>
  <si>
    <t>TABUA 0.20</t>
  </si>
  <si>
    <t>TABUA 0.30</t>
  </si>
  <si>
    <t>TABUA 0.15</t>
  </si>
  <si>
    <t>TABUA 0.10</t>
  </si>
  <si>
    <t>SARRAFO 0.7</t>
  </si>
  <si>
    <t>PONTALETE 6.5 X 6.5</t>
  </si>
  <si>
    <t>MADEPLUS</t>
  </si>
  <si>
    <t>QTDA</t>
  </si>
  <si>
    <t>18/03/2026 CONCRETO</t>
  </si>
  <si>
    <t>POLIMENTO 160m2</t>
  </si>
  <si>
    <t>TERCEIRIZADO</t>
  </si>
  <si>
    <t>DESCONTO PIX</t>
  </si>
  <si>
    <t>19/03/2026  TELHAS GALVONIZADAS</t>
  </si>
  <si>
    <t xml:space="preserve">PERFIL </t>
  </si>
  <si>
    <t>DOX</t>
  </si>
  <si>
    <t>PERFILADOS JP</t>
  </si>
  <si>
    <t>7 TELHAS DE  3MTS 0,43</t>
  </si>
  <si>
    <t>19/03/2026 ESCAVADEIRA</t>
  </si>
  <si>
    <t>BRAÇO DA PALHETA PARABRISA</t>
  </si>
  <si>
    <t>23/03 OU 24/03</t>
  </si>
  <si>
    <t>23/03 A 25/03</t>
  </si>
  <si>
    <t>POLIMENTO TERCEIRIZADO</t>
  </si>
  <si>
    <t>FRANCIS 31 99794-0286</t>
  </si>
  <si>
    <t>FLAVIA  31 98766-2509</t>
  </si>
  <si>
    <t>JORGE 31 98862-9171</t>
  </si>
  <si>
    <t>23/03/2026 FILTRO BEBEDOURO USINA</t>
  </si>
  <si>
    <t xml:space="preserve">FIL PURIFICADOR ACQUA FLOE </t>
  </si>
  <si>
    <t>23/03/2026 FILTROS EH01</t>
  </si>
  <si>
    <t>FILTRO COMBUSTIVEL</t>
  </si>
  <si>
    <t>FILTRO RACOR</t>
  </si>
  <si>
    <t>DESCONTO</t>
  </si>
  <si>
    <t xml:space="preserve">   </t>
  </si>
  <si>
    <t>2 VASSOURAS</t>
  </si>
  <si>
    <t>2 GARRAFAS TERMICAS 10L</t>
  </si>
  <si>
    <t>23/03/2026 TERRAPLANAGEM</t>
  </si>
  <si>
    <t xml:space="preserve">SPEED MAX </t>
  </si>
  <si>
    <t>MINAS PNUS</t>
  </si>
  <si>
    <t>23/03/2026 COMBOIO</t>
  </si>
  <si>
    <t>CANTU</t>
  </si>
  <si>
    <t xml:space="preserve">PEDIDO </t>
  </si>
  <si>
    <t>BOMBEAMENTO</t>
  </si>
  <si>
    <t>PAGAMENTO</t>
  </si>
  <si>
    <t>TOP MIX(RICARDO) 31 99509-3771</t>
  </si>
  <si>
    <t>HMIX (DANILO) 31 99748-1880</t>
  </si>
  <si>
    <t>GERAMIX (LUIZ) 31 98661-1355</t>
  </si>
  <si>
    <t>MG MIX 31 99839-3771</t>
  </si>
  <si>
    <t>POLIMIX 31 97308-2468</t>
  </si>
  <si>
    <t>6X CARTÃO</t>
  </si>
  <si>
    <t>CONCRETO 16m3 / 30 MPA / BRITA 0</t>
  </si>
  <si>
    <t>SEM NF-e</t>
  </si>
  <si>
    <t>PNEU 275/80 R22.5 - BORRACHUDO</t>
  </si>
  <si>
    <t xml:space="preserve">POSTO BERNARDO </t>
  </si>
  <si>
    <t>LAGUNA PROPRIEDADES E PARTICIPAÇÕES LTDA</t>
  </si>
  <si>
    <t>CNPJ</t>
  </si>
  <si>
    <t>18.488.229/0001-82</t>
  </si>
  <si>
    <t>CADASTRO G-28 OK</t>
  </si>
  <si>
    <t>AVISTA 6.383,52</t>
  </si>
  <si>
    <t>GRIPMASTER</t>
  </si>
  <si>
    <t xml:space="preserve">NOME </t>
  </si>
  <si>
    <t>MAURO AFONSO</t>
  </si>
  <si>
    <t>200 GARRAFAS</t>
  </si>
  <si>
    <t>ASSINATURA</t>
  </si>
  <si>
    <t>25/03/2026 USINA</t>
  </si>
  <si>
    <t>PERCIANA C/ VENTOSA 125X68</t>
  </si>
  <si>
    <t>25/03/2026 PRANCHA</t>
  </si>
  <si>
    <t>JS PEÇAS</t>
  </si>
  <si>
    <t>MARCA</t>
  </si>
  <si>
    <t>RESERPLASTIC</t>
  </si>
  <si>
    <t>RESERVATORIO AGUA DO RADIADOR</t>
  </si>
  <si>
    <t>18/03/2026 MATERIAIS DE ALVENARIA</t>
  </si>
  <si>
    <t>FABBOF</t>
  </si>
  <si>
    <t>DIESEL S10 26/03</t>
  </si>
  <si>
    <t>26/03/2026 CINTA (TERRAPLANAGEM)</t>
  </si>
  <si>
    <t>25/03/2026   SEM 618D</t>
  </si>
  <si>
    <t>BOMBA DE OLEO MANUAL</t>
  </si>
  <si>
    <t>URANO MAQUINAS</t>
  </si>
  <si>
    <t>G-28</t>
  </si>
  <si>
    <t>MARCELO PETROVILA</t>
  </si>
  <si>
    <t>(31) 99168-6703</t>
  </si>
  <si>
    <t>MAX PETROVILA</t>
  </si>
  <si>
    <t>(31) 98449-4333</t>
  </si>
  <si>
    <t>3TON / 5MTS</t>
  </si>
  <si>
    <t>CAIXA DAGUA POLIETILENO 1000 LTS FORTLEV</t>
  </si>
  <si>
    <t>SOLDAVEL - ADAPTADOR FLANGE 25MM X 3/4</t>
  </si>
  <si>
    <t>SOLDAVEL - JOELHO 90 X 25MM</t>
  </si>
  <si>
    <t>COLA ADESIVA PVC 175 GRS C/ PINCEL</t>
  </si>
  <si>
    <t>TORNEIRA PLASTICO COMUM JARDIM 1130 1/2</t>
  </si>
  <si>
    <t>VEDA ROSCA 018MM X 10 MTS</t>
  </si>
  <si>
    <t>SOLDAVEL - CAP 25 MM</t>
  </si>
  <si>
    <t>QTDD</t>
  </si>
  <si>
    <t>DEP. LANA</t>
  </si>
  <si>
    <t>DEP. ALPHA VILLE</t>
  </si>
  <si>
    <t>26/03/2026 CONSTRUÇÃO</t>
  </si>
  <si>
    <t>65      ESCORAS 2,00M ATÉ 3,10 M</t>
  </si>
  <si>
    <t>FRETE:</t>
  </si>
  <si>
    <t>MESTRE DA OBRA</t>
  </si>
  <si>
    <t xml:space="preserve">ALAVANCA </t>
  </si>
  <si>
    <t>OLEOS 30/03/2026</t>
  </si>
  <si>
    <t>2 BD</t>
  </si>
  <si>
    <t>SCI LOCAÇÕES</t>
  </si>
  <si>
    <t>31 99920-1667</t>
  </si>
  <si>
    <t>31 98711-8321</t>
  </si>
  <si>
    <t>31 98669-1357</t>
  </si>
  <si>
    <t>30/03/2026 ACTIOIL 1L</t>
  </si>
  <si>
    <t>SOTREC (JANEIRO)</t>
  </si>
  <si>
    <t>SOTREC (FEVEREIRO)</t>
  </si>
  <si>
    <t>SOTREC (MARÇO)</t>
  </si>
  <si>
    <t xml:space="preserve">15 ACTIOIL  </t>
  </si>
  <si>
    <t>TECNOLUB (LUBRAX)</t>
  </si>
  <si>
    <t>ANDRE DECLUB( SHELL)</t>
  </si>
  <si>
    <t>ILDENIO VIBRA (LUBRAX)</t>
  </si>
  <si>
    <t>DELLAS(LUBRAX)</t>
  </si>
  <si>
    <t>30/03/2026 FILTRO TANQUE DE COMBUSTIVEL</t>
  </si>
  <si>
    <t xml:space="preserve">TRIANGULO </t>
  </si>
  <si>
    <t>COPO COM FILTRO VASÃO 120L</t>
  </si>
  <si>
    <t>COPO S/ FILTRO</t>
  </si>
  <si>
    <t>FILTRO COMBUSTIVEL ENG SELCON 100</t>
  </si>
  <si>
    <t>30/03/2026 VIBROACABADORA 2009</t>
  </si>
  <si>
    <t>BOMBA DO VENTILADOR</t>
  </si>
  <si>
    <t>VALVULA BOMBA HIDRAULICA</t>
  </si>
  <si>
    <t>30/03/2026          PATROL</t>
  </si>
  <si>
    <t>30/03/2026   HIDRAULICA</t>
  </si>
  <si>
    <t>união 2"</t>
  </si>
  <si>
    <t>regitros 1" 1/2"</t>
  </si>
  <si>
    <t>joelhos 1" 1/2"</t>
  </si>
  <si>
    <t>T 1" 1/2"</t>
  </si>
  <si>
    <t>redução 2" para 1" 1/2"</t>
  </si>
  <si>
    <t>redução de 4" para 2"</t>
  </si>
  <si>
    <t>HIDRAUBRUNO</t>
  </si>
  <si>
    <t>tampão para conector 4" (aluminio)</t>
  </si>
  <si>
    <t>PROMINAS</t>
  </si>
  <si>
    <t>concreto</t>
  </si>
  <si>
    <t>bomba</t>
  </si>
  <si>
    <t>TOP MIX DEIZE 31 98223-3022</t>
  </si>
  <si>
    <t>CONCRETO</t>
  </si>
  <si>
    <t>BOMBA</t>
  </si>
  <si>
    <t xml:space="preserve">31/03/2026 PRANCHA </t>
  </si>
  <si>
    <t>CORREIA 8OK 1600</t>
  </si>
  <si>
    <t>FILTRO DE AR</t>
  </si>
  <si>
    <t>500L</t>
  </si>
  <si>
    <t>S10</t>
  </si>
  <si>
    <t>BAMAC</t>
  </si>
  <si>
    <t>DIESEL  31/03/2026</t>
  </si>
  <si>
    <t>HUMATEC</t>
  </si>
  <si>
    <t>REFORÇADO</t>
  </si>
  <si>
    <t xml:space="preserve">     14.00-24 G2/L 2</t>
  </si>
  <si>
    <t>02/04/2026 PNEU PATROL (2UNIDADE)</t>
  </si>
  <si>
    <t>7 A 10 DIAS</t>
  </si>
  <si>
    <t>28/56/84/112/140 DD</t>
  </si>
  <si>
    <t>30,60,90,120 DD</t>
  </si>
  <si>
    <t xml:space="preserve">2 DIAS </t>
  </si>
  <si>
    <t>MARCA / DESCRIÇÃO</t>
  </si>
  <si>
    <t>GRIPMASTER (DENIS)</t>
  </si>
  <si>
    <t xml:space="preserve"> (GRIPMASTER - 16 LONAS  )</t>
  </si>
  <si>
    <t>SPEED MAX</t>
  </si>
  <si>
    <t>(STRYKER (CANTU) - 16 LONAS/SEM CAMARA )</t>
  </si>
  <si>
    <t>GF PNEUS</t>
  </si>
  <si>
    <t>1400-24 WESTLAKE TIRE ONLY G2/L2 16PR</t>
  </si>
  <si>
    <t>1400R24 PETLAS PTXL42 153A8 G-2 TL</t>
  </si>
  <si>
    <t>PNEU 1400-24 MAGGION LAVORATORE G2/L2 16L</t>
  </si>
  <si>
    <t>6 X SEM JUROS</t>
  </si>
  <si>
    <t>IMEDIATA</t>
  </si>
  <si>
    <t>ABRIL</t>
  </si>
  <si>
    <t>1400-24 APEX ROAD G2/L2 TL 16PR **TB</t>
  </si>
  <si>
    <t>SPEEDMAX 14.00-24 R24  16LONAS</t>
  </si>
  <si>
    <t>14.00-24TG SGG-2A 16 PR TL GOODYEAR</t>
  </si>
  <si>
    <t xml:space="preserve">1400X24 16 LONAS MALHOTRA </t>
  </si>
  <si>
    <t xml:space="preserve">1400X24 16 LONAS WESTLAKE </t>
  </si>
  <si>
    <t>1400X24 16 LONAS MARVELOUS</t>
  </si>
  <si>
    <t>14.00-24 16PR TL MALHOTRA</t>
  </si>
  <si>
    <t>30/60/90/120 DD</t>
  </si>
  <si>
    <t>6X SEM JUROS</t>
  </si>
  <si>
    <t>02/04/2026 FILTROS PC03</t>
  </si>
  <si>
    <t>02/04/2026    FILTROS COMBOIO</t>
  </si>
  <si>
    <t>FILTROS  02/04/2026 GERADOR</t>
  </si>
  <si>
    <r>
      <t xml:space="preserve">ELEMENTO FILTRANTE </t>
    </r>
    <r>
      <rPr>
        <b/>
        <sz val="11"/>
        <color rgb="FFFF0000"/>
        <rFont val="Aptos Narrow"/>
        <family val="2"/>
        <scheme val="minor"/>
      </rPr>
      <t>COD: 91724859</t>
    </r>
  </si>
  <si>
    <r>
      <t xml:space="preserve">FILTRO DE AR </t>
    </r>
    <r>
      <rPr>
        <b/>
        <sz val="11"/>
        <color rgb="FFFF0000"/>
        <rFont val="Aptos Narrow"/>
        <family val="2"/>
        <scheme val="minor"/>
      </rPr>
      <t xml:space="preserve">COD: 8605139 </t>
    </r>
  </si>
  <si>
    <r>
      <t xml:space="preserve">FILTRO COMBUSTIVEL </t>
    </r>
    <r>
      <rPr>
        <b/>
        <sz val="11"/>
        <color rgb="FFFF0000"/>
        <rFont val="Aptos Narrow"/>
        <family val="2"/>
        <scheme val="minor"/>
      </rPr>
      <t xml:space="preserve">COD: 84412164 </t>
    </r>
  </si>
  <si>
    <r>
      <t xml:space="preserve">FILTRO DE OLEO </t>
    </r>
    <r>
      <rPr>
        <b/>
        <sz val="11"/>
        <color rgb="FFFF0000"/>
        <rFont val="Aptos Narrow"/>
        <family val="2"/>
        <scheme val="minor"/>
      </rPr>
      <t xml:space="preserve">COD: 84228488 </t>
    </r>
  </si>
  <si>
    <r>
      <t xml:space="preserve">FILTRO DE AR SECUNDARIO </t>
    </r>
    <r>
      <rPr>
        <b/>
        <sz val="11"/>
        <color rgb="FFFF0000"/>
        <rFont val="Aptos Narrow"/>
        <family val="2"/>
        <scheme val="minor"/>
      </rPr>
      <t>COD: 8605140</t>
    </r>
  </si>
  <si>
    <t>OLEO SHELL 15W40</t>
  </si>
  <si>
    <t xml:space="preserve">06/04/2026                OLEO USINA </t>
  </si>
  <si>
    <t>VIBRA</t>
  </si>
  <si>
    <t>SELCON 100 / EC 5245</t>
  </si>
  <si>
    <t xml:space="preserve">DEL REY </t>
  </si>
  <si>
    <t>entrega 06/04</t>
  </si>
  <si>
    <t>15W40 5 baldes</t>
  </si>
  <si>
    <t>ALEXSANDRO BUSCOU</t>
  </si>
  <si>
    <t>ML</t>
  </si>
  <si>
    <t>06/04/2026 CONSTRUÇÃO USINA</t>
  </si>
  <si>
    <t>MADEIRAS</t>
  </si>
  <si>
    <t>ILUMINAÇÃO</t>
  </si>
  <si>
    <t xml:space="preserve">CAIXA PVC 4X4 </t>
  </si>
  <si>
    <t>MANGUEIRA CORRUGADA 3/4 VLARANJA 50mts</t>
  </si>
  <si>
    <t>PONTALETE 6X6</t>
  </si>
  <si>
    <t>MADEIRITE PLASTIFICADO 15MM</t>
  </si>
  <si>
    <t>EUCALPTO 3mts</t>
  </si>
  <si>
    <t>KC 24</t>
  </si>
  <si>
    <t>PSC410</t>
  </si>
  <si>
    <t>LF3349</t>
  </si>
  <si>
    <t>PSD460/1</t>
  </si>
  <si>
    <t>BARRA DE FERRO 6MM</t>
  </si>
  <si>
    <t>LOCAÇÃO</t>
  </si>
  <si>
    <t xml:space="preserve">   ESCORAS 2,00M ATÉ 3,10 M</t>
  </si>
  <si>
    <t>BARROTES</t>
  </si>
  <si>
    <t>BARROTE 0,065X0,065X3,00M</t>
  </si>
  <si>
    <t xml:space="preserve">07/04/2026 ESCAVADEIRA HYUNDAI </t>
  </si>
  <si>
    <t>AEC</t>
  </si>
  <si>
    <t>FORT BRAS</t>
  </si>
  <si>
    <t>ARRANQUE</t>
  </si>
  <si>
    <t>06/04/2026 FILTROS  ESCAVADEIRA HIUNDAY</t>
  </si>
  <si>
    <t xml:space="preserve">07/04/2026 RADIO CARRO </t>
  </si>
  <si>
    <t>UA 46909PUK</t>
  </si>
  <si>
    <t>UNO VERMELHO</t>
  </si>
  <si>
    <t>PREVENTIVA BARÃO</t>
  </si>
  <si>
    <t xml:space="preserve">FILTRO COMBUSTIVEL </t>
  </si>
  <si>
    <t>FILTRO DE OLEO</t>
  </si>
  <si>
    <t>PC04 PC05 PC06 EH02</t>
  </si>
  <si>
    <t>KOMATSU</t>
  </si>
  <si>
    <t>TE01</t>
  </si>
  <si>
    <t xml:space="preserve">2 GALÃO 15W40 </t>
  </si>
  <si>
    <t>OLEO 15W40 LUBRAX</t>
  </si>
  <si>
    <t xml:space="preserve">ESCOVA </t>
  </si>
  <si>
    <t>INDUZIDO</t>
  </si>
  <si>
    <t>AUTOMATICO</t>
  </si>
  <si>
    <t>ENTREGAR 08/04</t>
  </si>
  <si>
    <r>
      <t xml:space="preserve">FILTRO COMB. BOMBINHA  </t>
    </r>
    <r>
      <rPr>
        <b/>
        <sz val="11"/>
        <color rgb="FFFF0000"/>
        <rFont val="Aptos Narrow"/>
        <family val="2"/>
        <scheme val="minor"/>
      </rPr>
      <t>COD: 90412128</t>
    </r>
  </si>
  <si>
    <t>DIESEL S10 08/04/2026</t>
  </si>
  <si>
    <t>07/04/2026 VERGALHÃO</t>
  </si>
  <si>
    <t>FORTAÇO 98474-3397</t>
  </si>
  <si>
    <t>50MTS / 5 BARRAS</t>
  </si>
  <si>
    <t xml:space="preserve">AÇO STA CLARA </t>
  </si>
  <si>
    <t>VERGALÃO (3/4 20MM) CA50</t>
  </si>
  <si>
    <t>AÇOPAIVA</t>
  </si>
  <si>
    <t>VALOR 1 BARRA</t>
  </si>
  <si>
    <t>08/04/2026 PREVENTIVA SAVEIRO</t>
  </si>
  <si>
    <t>FILTRO DE OLEO MOTOR</t>
  </si>
  <si>
    <t>OLEO MOTOR 15W40</t>
  </si>
  <si>
    <t>FORTBRAS</t>
  </si>
  <si>
    <t>VIRTUAL</t>
  </si>
  <si>
    <t>ARMANDO</t>
  </si>
  <si>
    <t>31 99863-6863</t>
  </si>
  <si>
    <t>ARMANDO 31 99863-6863</t>
  </si>
  <si>
    <t>08/04/2026   FILTROS DE AR BARÃO</t>
  </si>
  <si>
    <t>SC014520-304</t>
  </si>
  <si>
    <t>RD-5-13925-0</t>
  </si>
  <si>
    <t>06/04/2026         BOMBA ENGRENAGEM</t>
  </si>
  <si>
    <t>RAIO COMBUSTÃO</t>
  </si>
  <si>
    <t>BOMBA DE ENGRENAGEM 1''</t>
  </si>
  <si>
    <t>R 26-A50</t>
  </si>
  <si>
    <t>AF 26393</t>
  </si>
  <si>
    <t>FF 167-A</t>
  </si>
  <si>
    <t>P 55-4403</t>
  </si>
  <si>
    <t>DELREY/FLEET-DONALDSON</t>
  </si>
  <si>
    <t>TRIAGULO/OUTRS MARCAS</t>
  </si>
  <si>
    <t>07/04/2026 PREVENTIVA    (2 UNIDADES)</t>
  </si>
  <si>
    <t>FILTRO DE OLEO  6736-51-5142</t>
  </si>
  <si>
    <t>FILTRO COMBUSTIVEL  600-319-3910</t>
  </si>
  <si>
    <t xml:space="preserve">FILTRO RACOR  </t>
  </si>
  <si>
    <t>MUNDIAL EXTINTORES</t>
  </si>
  <si>
    <t>CONFIANÇA</t>
  </si>
  <si>
    <t>13/04/2026 FILTROS ONIBUS</t>
  </si>
  <si>
    <t>13/04/2026 FILTROS PRANCHA</t>
  </si>
  <si>
    <t>09/04/2026  ACABADORA 2012</t>
  </si>
  <si>
    <t>FCD 2057 COMB.</t>
  </si>
  <si>
    <t>FF 5421 COMB.</t>
  </si>
  <si>
    <t>WAP 103 AR</t>
  </si>
  <si>
    <t>FILTRO AR LX1093  AR</t>
  </si>
  <si>
    <t>FILTRO KX 67/2 COMB.</t>
  </si>
  <si>
    <t>CONCRETO 16m3 / 25 MPA / BRITA 0</t>
  </si>
  <si>
    <t>14/04/2026 CONCRETO</t>
  </si>
  <si>
    <t>14/04/2026 MUNCK USINA/BARÃO</t>
  </si>
  <si>
    <t>TANQUE 5MTS</t>
  </si>
  <si>
    <t>MG MUNCK</t>
  </si>
  <si>
    <t>GERAMIX GERALDO 99699-7804</t>
  </si>
  <si>
    <t>FERNANDO 97444-3356</t>
  </si>
  <si>
    <t>OBS (PROGRAMAÇÃO)</t>
  </si>
  <si>
    <t xml:space="preserve">13/04/2026 CALHA </t>
  </si>
  <si>
    <t>CHICO</t>
  </si>
  <si>
    <t>2 CALHAS 35 MTS</t>
  </si>
  <si>
    <t>2 FECHAMENTO</t>
  </si>
  <si>
    <t>MANA CALHAS 3198106-5590</t>
  </si>
  <si>
    <t>ICOPEL 31 99678-2787</t>
  </si>
  <si>
    <t>NEVES CALHAS 31 98957-6915</t>
  </si>
  <si>
    <t xml:space="preserve">10 SAIDAS   </t>
  </si>
  <si>
    <t>15/04/2026   FIO</t>
  </si>
  <si>
    <t>PP 2VIAS / 60MTS / 1,5MM</t>
  </si>
  <si>
    <t xml:space="preserve">LOJA ELETRICA </t>
  </si>
  <si>
    <t>ESPECIFICAÇÃO</t>
  </si>
  <si>
    <t>PP - 500V - 2X1.5MM PR C5 - 60mts</t>
  </si>
  <si>
    <t>PP - 750V - 2X1.5MM - 100mts</t>
  </si>
  <si>
    <t>DEP. DINIZ</t>
  </si>
  <si>
    <t>PP - - 2X1.5MM - 60 mts</t>
  </si>
  <si>
    <t>DIESEL  15/04/2026 (COCA COLA)</t>
  </si>
  <si>
    <t>EXTINTOR PO ABC 6KG</t>
  </si>
  <si>
    <t>EXTINTOR PO ABC 20KG 10A 80BC</t>
  </si>
  <si>
    <t>ABRIGO P EXTINTOR (75X30X25) LD</t>
  </si>
  <si>
    <t>PLACA E-5 30X30</t>
  </si>
  <si>
    <t>LUMINÁRIA DE EMERGÊNCIA LONGO ALCANCE 1200 LUMENS</t>
  </si>
  <si>
    <t>LUMINÁRIA DE EMERGÊNCIA</t>
  </si>
  <si>
    <t>PLACA S-2 19X38</t>
  </si>
  <si>
    <t>PLACA S-1 19X38</t>
  </si>
  <si>
    <t>PLACA S-6 19X38</t>
  </si>
  <si>
    <t>PLACA S-12 19X38</t>
  </si>
  <si>
    <t>PLACA S-12 26X13</t>
  </si>
  <si>
    <t>PLACA S-9 26X13</t>
  </si>
  <si>
    <t>PLACA M-1 30X30</t>
  </si>
  <si>
    <t>PLACA M-7 19X38</t>
  </si>
  <si>
    <t>PLACA P-1 30X30</t>
  </si>
  <si>
    <t>PLACA P-2 30X30</t>
  </si>
  <si>
    <t>PLACA A-2 30X30</t>
  </si>
  <si>
    <t>PLACA DE SINALIZAÇÃO E5 30X30</t>
  </si>
  <si>
    <t>EXTINTOR PQS 50KG 80 BC</t>
  </si>
  <si>
    <t>PLACA DE SINALIZAÇÃO M1 50X30</t>
  </si>
  <si>
    <t>PLACA DE SINALIZAÇÃO M7 39x19</t>
  </si>
  <si>
    <t>PLACA DE SINALIZAÇÃO S1 26x13</t>
  </si>
  <si>
    <t>PLACA DE SINALIZAÇÃO S2 26x13</t>
  </si>
  <si>
    <t>FOGO SANTO 31 3355-8956</t>
  </si>
  <si>
    <t>EXTINFRAN 31 98416-7740</t>
  </si>
  <si>
    <t>LUMINÁRIA DE EMERGÊNCIA 30 LEDS</t>
  </si>
  <si>
    <t>DEMARCAÇÃO DE SOLO</t>
  </si>
  <si>
    <r>
      <t xml:space="preserve">10/04/2026           </t>
    </r>
    <r>
      <rPr>
        <b/>
        <sz val="11"/>
        <color rgb="FFFF0000"/>
        <rFont val="Aptos Narrow"/>
        <family val="2"/>
        <scheme val="minor"/>
      </rPr>
      <t>PROJETO DE INCENDIO</t>
    </r>
    <r>
      <rPr>
        <b/>
        <sz val="11"/>
        <color theme="1"/>
        <rFont val="Aptos Narrow"/>
        <family val="2"/>
        <scheme val="minor"/>
      </rPr>
      <t xml:space="preserve"> </t>
    </r>
  </si>
  <si>
    <t>17/04/2026 CHAVE DE RODA 30 P/ CAMINHÃO</t>
  </si>
  <si>
    <t>MINAS ACESSORIOS (27X30 E 27X33)</t>
  </si>
  <si>
    <t>27X30</t>
  </si>
  <si>
    <t>27X33</t>
  </si>
  <si>
    <t>30X32</t>
  </si>
  <si>
    <t>26/01/2026 FILTROS DE CONDICIONADO BARÃO</t>
  </si>
  <si>
    <t>5781844.00</t>
  </si>
  <si>
    <t>5805439.00</t>
  </si>
  <si>
    <t>5000957.00</t>
  </si>
  <si>
    <t>2902288.00</t>
  </si>
  <si>
    <t>15/04/2026 FILTROS DE CONDICIONADO BARÃO</t>
  </si>
  <si>
    <t>PÁ CARREGADEIRA/ESC. HIDRAULICA</t>
  </si>
  <si>
    <t>22/04/2026 TUBO PEAD</t>
  </si>
  <si>
    <t>DIESEL  03/04/2026</t>
  </si>
  <si>
    <t>07/04/2026 OLEO BARÃO</t>
  </si>
  <si>
    <t>DRENAK</t>
  </si>
  <si>
    <t>TUBO  PEAD 200MM CORRUGADO S/ FURO</t>
  </si>
  <si>
    <t>12MTS</t>
  </si>
  <si>
    <t>FRETE CONTAGEM</t>
  </si>
  <si>
    <t>CORR PLASTIK</t>
  </si>
  <si>
    <t>WP MANGUEIRA</t>
  </si>
  <si>
    <t xml:space="preserve">  </t>
  </si>
  <si>
    <t>AVISTA</t>
  </si>
  <si>
    <t xml:space="preserve">MININCO </t>
  </si>
  <si>
    <t>FOB</t>
  </si>
  <si>
    <t>12 DIAS</t>
  </si>
  <si>
    <t>CARTA DEVEDOR</t>
  </si>
  <si>
    <t>VALOR LITRO</t>
  </si>
  <si>
    <t>15 DIAS</t>
  </si>
  <si>
    <t xml:space="preserve">22/04/2026         DIESEL S10 </t>
  </si>
  <si>
    <t>LAGUNA - 18.488.229/0001-82</t>
  </si>
  <si>
    <t>DEBORA PETROVILA</t>
  </si>
  <si>
    <t>(31) 99525-4145</t>
  </si>
  <si>
    <t>23/04/2026 MARMORES USINA</t>
  </si>
  <si>
    <t xml:space="preserve">PIA COM BANCADA AREA </t>
  </si>
  <si>
    <t>MARMORARIA PEDRAS NACIONAL 99568-0371</t>
  </si>
  <si>
    <t>MARMORARIA RESSACA 3357-2144</t>
  </si>
  <si>
    <t>FARAÓ MÁRMORES E GRANITOS 99964-2276</t>
  </si>
  <si>
    <t>MARMORARIA REQUINT 99209-9489</t>
  </si>
  <si>
    <t>TRIÂNGULO MÁRMORES E GRANITOS 3476-7536</t>
  </si>
  <si>
    <t>MARMORARIA ARCOGRAN 99610-5308</t>
  </si>
  <si>
    <t>ATUAL PEDRAS 3474-6464</t>
  </si>
  <si>
    <t>G.E MÁRMORES E GRANITOS 2512-8522</t>
  </si>
  <si>
    <t>MARMORARIA IMPERIAL  3473-5596</t>
  </si>
  <si>
    <t>LAVATORIO C/ 2 FUROS BOJO</t>
  </si>
  <si>
    <t>2 BOJOS LOUÇA</t>
  </si>
  <si>
    <t xml:space="preserve">BOJO DE PIA </t>
  </si>
  <si>
    <t xml:space="preserve">23/04/2026 OLEOS </t>
  </si>
  <si>
    <t xml:space="preserve">VIBRA - VALOR UNITARIO </t>
  </si>
  <si>
    <t>SHELL - VALOR UNITARIO</t>
  </si>
  <si>
    <t>VIBRA 5 BALDES</t>
  </si>
  <si>
    <t>SHELL 5 BALDES</t>
  </si>
  <si>
    <t>SERVIÇO</t>
  </si>
  <si>
    <t>ACABAMENTOS</t>
  </si>
  <si>
    <t>VIBRA -80L</t>
  </si>
  <si>
    <t>TRX 20W40</t>
  </si>
  <si>
    <t>*****</t>
  </si>
  <si>
    <t>PEITORIL</t>
  </si>
  <si>
    <t>23/04/2026 PNEU HB20 BRANCO</t>
  </si>
  <si>
    <t>175/75 R 14</t>
  </si>
  <si>
    <t>MINAS PNEUS/ F-700 88T FIRESTONE</t>
  </si>
  <si>
    <t>23/04/2026  OLEO TANDEM /  PATROL</t>
  </si>
  <si>
    <t>FLUIDO DE TRANSMISSÃO TDH OIL 10W-30</t>
  </si>
  <si>
    <t>4 BD</t>
  </si>
  <si>
    <t>FILTROS  24/04/2026 GERADOR           2PV</t>
  </si>
  <si>
    <t>SHELL - S4 TXM</t>
  </si>
  <si>
    <t>GRAND LUB - TAXACO</t>
  </si>
  <si>
    <t>DISPETRAL - TEXACO</t>
  </si>
  <si>
    <t>DISPETRAL - INGRAX</t>
  </si>
  <si>
    <t>GRAND LUB - KARTER</t>
  </si>
  <si>
    <t xml:space="preserve">24/04/2026    ESCAV HIDRAULICA </t>
  </si>
  <si>
    <t>OLEO HIDRAULICO 68                2 BALDES</t>
  </si>
  <si>
    <t>DIESEL  27/04/2026 (COCA COLA)</t>
  </si>
  <si>
    <t>27/04/2026 PAVIMENTAÇÃO</t>
  </si>
  <si>
    <t>VASSOURA DE ASFALTO</t>
  </si>
  <si>
    <t>VASSOURA PIÇAVA</t>
  </si>
  <si>
    <t>GARRAFA TERMICA 12L (SABARA)</t>
  </si>
  <si>
    <t>27/04/2026 FILTROS COMBOIO</t>
  </si>
  <si>
    <t>DCML antigo</t>
  </si>
  <si>
    <t xml:space="preserve">LE2003 -OLEO MOTOR </t>
  </si>
  <si>
    <t>PU1046X - COMBUSTIVEL</t>
  </si>
  <si>
    <t>KX710D - CAMBUSTIVEL</t>
  </si>
  <si>
    <t>TBRASIL</t>
  </si>
  <si>
    <t>TECFIL</t>
  </si>
  <si>
    <t>MANN/MANN/FLEETGUARD</t>
  </si>
  <si>
    <t>HENGST/MANN/HENGST</t>
  </si>
  <si>
    <t>MARCAS</t>
  </si>
  <si>
    <t>400L</t>
  </si>
  <si>
    <t>MANN</t>
  </si>
  <si>
    <t xml:space="preserve">28/04/2026 CONSTRUÇÃO </t>
  </si>
  <si>
    <t>6.3MM</t>
  </si>
  <si>
    <t>10 BARRAS</t>
  </si>
  <si>
    <t>BLOCOS</t>
  </si>
  <si>
    <t>28/04/2026 COMBOIO</t>
  </si>
  <si>
    <t>HELLA</t>
  </si>
  <si>
    <t>NACIONAL PEÇAS</t>
  </si>
  <si>
    <t>SENSOR ARLA 24V</t>
  </si>
  <si>
    <t xml:space="preserve">REGISTRO GAVETA 1.1/4 </t>
  </si>
  <si>
    <t>REGISTRO GAVETA C50 1509X3/4</t>
  </si>
  <si>
    <t xml:space="preserve">REGISTRO PRESSAO VEDANTE 3/4 </t>
  </si>
  <si>
    <t>TE SOLDA 40MM</t>
  </si>
  <si>
    <t>TE SOLDA 32MM</t>
  </si>
  <si>
    <t>JOELHO AZUL 25MM X 1 2"</t>
  </si>
  <si>
    <t>ADAPTADOR SOLDA ROSCA 25MM X 3 4"</t>
  </si>
  <si>
    <t>ADAPTADOR FLANGE 40MM SOLDA</t>
  </si>
  <si>
    <t>JOELHO SOLDA 45° X 25MM</t>
  </si>
  <si>
    <t>BUCHA RED SOLDA CURTA 32 X 25MM</t>
  </si>
  <si>
    <t>LUVA AZUL 25MM X 3 4"</t>
  </si>
  <si>
    <t>JOELHO SOLDA 45° X 40MM</t>
  </si>
  <si>
    <t>TE AZUL 25MM X 1 2"</t>
  </si>
  <si>
    <t>TUBO SOLDA 32MM</t>
  </si>
  <si>
    <t>LUVA SOLDA 32MM</t>
  </si>
  <si>
    <t>TAMPAO ROSCA PLUG 1 2"</t>
  </si>
  <si>
    <t>TUBO SOLDA 40MM</t>
  </si>
  <si>
    <t>LIXA D AGUA TATU 80</t>
  </si>
  <si>
    <t xml:space="preserve">LAMINA DE SERRA  </t>
  </si>
  <si>
    <t xml:space="preserve">ADESIVO PLASTICO PVC 175G </t>
  </si>
  <si>
    <t>VEDA ROSCA 18MMX 50MT</t>
  </si>
  <si>
    <t>BLOCO C/ FUNDO 09X19X39 FBK 3.0 MPA</t>
  </si>
  <si>
    <t>HIDRAULICOS PVC</t>
  </si>
  <si>
    <t>DINIZ</t>
  </si>
  <si>
    <t>QUATIDADE</t>
  </si>
  <si>
    <t xml:space="preserve">28/04/2026         DIESEL S10 </t>
  </si>
  <si>
    <t>MINASMAQUINAS</t>
  </si>
  <si>
    <t>ALLIANCE</t>
  </si>
  <si>
    <t>29/04/2026 PREVENTIVA BARÃO</t>
  </si>
  <si>
    <t>STRADAS</t>
  </si>
  <si>
    <t>FILTRO DE OLEO PSL77</t>
  </si>
  <si>
    <t>OLEO 0W20</t>
  </si>
  <si>
    <t>UNO</t>
  </si>
  <si>
    <t>OLEO 15W40</t>
  </si>
  <si>
    <t>29/04/2026 ESCAVADEIRA HIDRAULICA</t>
  </si>
  <si>
    <t>VALVULA DE RETORNO DE COMBUSTIVEL</t>
  </si>
  <si>
    <t xml:space="preserve">REPARO DE GIRO </t>
  </si>
  <si>
    <t>29/04/2026 TUBOS USINA</t>
  </si>
  <si>
    <t>VALVULA FECHO RAPIDO DE 2"</t>
  </si>
  <si>
    <t>CURVAS 2"</t>
  </si>
  <si>
    <t>REDUÇÃO 2" PARA 1"1/2</t>
  </si>
  <si>
    <t>REDUÇÃO 2" PARA 1"</t>
  </si>
  <si>
    <t>TE 2"</t>
  </si>
  <si>
    <t>TUBOS 2"</t>
  </si>
  <si>
    <t>DISCOS DE CORTE 7"</t>
  </si>
  <si>
    <t>DISCOS DE CORTE 4"1/2</t>
  </si>
  <si>
    <t>PERFIL U 4" POR 3/16</t>
  </si>
  <si>
    <t>FLANGES 2"</t>
  </si>
  <si>
    <t>CASA DAS VALVULAS</t>
  </si>
  <si>
    <t>ARFLAN</t>
  </si>
  <si>
    <t>COTAR DIESEL S10 VIBRA</t>
  </si>
  <si>
    <t>CITY TUBOS</t>
  </si>
  <si>
    <t>WP COM. DE MANGUEIRAS</t>
  </si>
  <si>
    <t>TUBOS IPIRANGA</t>
  </si>
  <si>
    <t>AÇO TUBO</t>
  </si>
  <si>
    <t>WP COM. DE MANG</t>
  </si>
  <si>
    <t>C/COSTURA</t>
  </si>
  <si>
    <t>S/ COSTURA</t>
  </si>
  <si>
    <t xml:space="preserve">30/04/2026 OLEOS </t>
  </si>
  <si>
    <t>OLEO GL-5 90</t>
  </si>
  <si>
    <t>LATA DE SOLDA 7018 OK 3.25</t>
  </si>
  <si>
    <t>VALV GALV FECHO RAPIDO BRONZE 125LBS 2 DECA FIG 67</t>
  </si>
  <si>
    <t>VALV ESFERA MONOBLOCO 150 LBS PP PN30 BSP 1.1/2 MGA</t>
  </si>
  <si>
    <t>FILTRO DE OLEO PSL55</t>
  </si>
  <si>
    <t>04/05/2026 ESCAVADEIRA HIDRAULICA HYUNDAI</t>
  </si>
  <si>
    <t>UNHA DA CONCHA</t>
  </si>
  <si>
    <t xml:space="preserve">QUANTIDADE </t>
  </si>
  <si>
    <t>BITAÇO</t>
  </si>
  <si>
    <t>ACIII</t>
  </si>
  <si>
    <t>05/05/2026 ARGAMASSA 30 SC</t>
  </si>
  <si>
    <r>
      <t xml:space="preserve">DINIZ </t>
    </r>
    <r>
      <rPr>
        <sz val="11"/>
        <color rgb="FFFF0000"/>
        <rFont val="Aptos Narrow"/>
        <family val="2"/>
        <scheme val="minor"/>
      </rPr>
      <t xml:space="preserve">ARGALIT </t>
    </r>
  </si>
  <si>
    <r>
      <t xml:space="preserve">DINIZ </t>
    </r>
    <r>
      <rPr>
        <sz val="11"/>
        <color rgb="FFFF0000"/>
        <rFont val="Aptos Narrow"/>
        <family val="2"/>
        <scheme val="minor"/>
      </rPr>
      <t>URSO POLAR</t>
    </r>
  </si>
  <si>
    <r>
      <t>LISBOA</t>
    </r>
    <r>
      <rPr>
        <sz val="11"/>
        <color rgb="FFFF0000"/>
        <rFont val="Aptos Narrow"/>
        <family val="2"/>
        <scheme val="minor"/>
      </rPr>
      <t xml:space="preserve"> PRECON ( ENTREGA)</t>
    </r>
  </si>
  <si>
    <r>
      <t xml:space="preserve">LISBOA </t>
    </r>
    <r>
      <rPr>
        <sz val="11"/>
        <color rgb="FFFF0000"/>
        <rFont val="Aptos Narrow"/>
        <family val="2"/>
        <scheme val="minor"/>
      </rPr>
      <t>PRECON (RETIRA)</t>
    </r>
  </si>
  <si>
    <t xml:space="preserve"> FIXAR ARGAMASSA </t>
  </si>
  <si>
    <t>05/05/2026 USINA / JANELAS</t>
  </si>
  <si>
    <t>KIT JANELA ALUMINIO DEITADO</t>
  </si>
  <si>
    <t>BATE FECHA ALVENARIA</t>
  </si>
  <si>
    <t>PERFIL AL66</t>
  </si>
  <si>
    <t>PERFIL AL67</t>
  </si>
  <si>
    <t>SILICONE</t>
  </si>
  <si>
    <t>ROLDANA</t>
  </si>
  <si>
    <t>PARAFUSO PHILLIPS</t>
  </si>
  <si>
    <t>BUCHA</t>
  </si>
  <si>
    <t>HL FERRAGENS</t>
  </si>
  <si>
    <t>05/05/2026 USINA / JANELAS - VIDROS 8MM INCOLOR</t>
  </si>
  <si>
    <t>ALOX / ALUM. FOSCO</t>
  </si>
  <si>
    <t xml:space="preserve">JANELAS 1,47X1,00 </t>
  </si>
  <si>
    <t>VIDRUS  31 97558-9139</t>
  </si>
  <si>
    <t>SOMENTE VIDROS</t>
  </si>
  <si>
    <t>JH VIDROS 31 97216-6740</t>
  </si>
  <si>
    <t>LAIO LIMA 31 98987-1428</t>
  </si>
  <si>
    <t>NP VIDRAÇARIA 31 98864-7236</t>
  </si>
  <si>
    <t>AMERICA VIDROS  31 98827-7761</t>
  </si>
  <si>
    <t>06/05/2026 CERAMICA 76X76</t>
  </si>
  <si>
    <t>1"1/2 POR 1/8</t>
  </si>
  <si>
    <t xml:space="preserve">ANTONIO SERRALHERIA </t>
  </si>
  <si>
    <t>06/05/2026 BARRA CHATA - AÇO CARBONO</t>
  </si>
  <si>
    <t>PLASTMETAL</t>
  </si>
  <si>
    <t>ENTREGA 07/05</t>
  </si>
  <si>
    <t>DIESEL  06/05/2026 (COCA COLA)</t>
  </si>
  <si>
    <t>06/05/2026 COMBOIO NOVO</t>
  </si>
  <si>
    <t>PREPULSORA</t>
  </si>
  <si>
    <t>INSPMEC</t>
  </si>
  <si>
    <t>06/05/2026 KIA BOMGO</t>
  </si>
  <si>
    <t>MOTOR</t>
  </si>
  <si>
    <t>MULTPARTS</t>
  </si>
  <si>
    <t>VIDRO PRATICO 31 3070-3050</t>
  </si>
  <si>
    <t>MADSOL</t>
  </si>
  <si>
    <t>LEROY</t>
  </si>
  <si>
    <t>HOME FORT</t>
  </si>
  <si>
    <t>40M2</t>
  </si>
  <si>
    <t>07/05/2026 STRADA RMM</t>
  </si>
  <si>
    <t>PNEU 195/65 R15               2 PNEUS</t>
  </si>
  <si>
    <t>07/05/2026 TINTAS AUTOMOTIVAS</t>
  </si>
  <si>
    <t>ANTONACCI</t>
  </si>
  <si>
    <t>07/05/2026   BATERIA COMBOIO NOVO</t>
  </si>
  <si>
    <t xml:space="preserve"> 2 BATERIAS      100AH  </t>
  </si>
  <si>
    <t>ALVORADA PNEUS</t>
  </si>
  <si>
    <t>07/05/2026 MATERIAIS CONSTRUÇÃO (PISO)</t>
  </si>
  <si>
    <t>9 CHUMBADOR 60CM (SUPORTE)</t>
  </si>
  <si>
    <t>REJUNTE CINZA PLATINA</t>
  </si>
  <si>
    <t>PU BRANCO</t>
  </si>
  <si>
    <t>ESPASSADOR VIVELADOR 2MM</t>
  </si>
  <si>
    <t>12 KG</t>
  </si>
  <si>
    <t>ESPUMA DE PEDREIRO</t>
  </si>
  <si>
    <t>2" POR 3/16</t>
  </si>
  <si>
    <t>JE TINTAS AUTOMOTIVAS</t>
  </si>
  <si>
    <t>08/05/2026 MATERIAIS DE OBRA</t>
  </si>
  <si>
    <t>CIMENTO</t>
  </si>
  <si>
    <t xml:space="preserve">LISBOA </t>
  </si>
  <si>
    <t>08/05/2026 MATERIAIS DE CONSTRUÇÃO</t>
  </si>
  <si>
    <t>UNIÃO IMPERMEABILIZANTES</t>
  </si>
  <si>
    <t>ELASTCRYL MANTA LIQUIDA 60L</t>
  </si>
  <si>
    <t>18L</t>
  </si>
  <si>
    <t xml:space="preserve">11/05/2026         DIESEL S10 </t>
  </si>
  <si>
    <t>ANTECIADO</t>
  </si>
  <si>
    <t>12 DD</t>
  </si>
  <si>
    <t>ANTECIPADO</t>
  </si>
  <si>
    <t>NÃO APROVOU</t>
  </si>
  <si>
    <t>11/05/2026 MATERIAIS DE CONSTRUÇÃO</t>
  </si>
  <si>
    <t>PNEU 275/80 R22.5 -LISO</t>
  </si>
  <si>
    <t>2 DIAS</t>
  </si>
  <si>
    <t>7 DIAS</t>
  </si>
  <si>
    <t>LRX DYNAMO 149/146L 16 LONAS</t>
  </si>
  <si>
    <t>LRX ADVANCE GL283A 149/146 L DIRECIONAL</t>
  </si>
  <si>
    <t>IMEDIATO/FATURADO</t>
  </si>
  <si>
    <t xml:space="preserve"> SPEEDMAX EASYMAX 149/146L 18LONAS</t>
  </si>
  <si>
    <t>ALVORADA STEELMARK AGS(GOODYEAR)</t>
  </si>
  <si>
    <t>IMEDIATO 4X CARTÃO</t>
  </si>
  <si>
    <t>68 HIDRAULICO</t>
  </si>
  <si>
    <t>10W30 TRANSMISSÃO</t>
  </si>
  <si>
    <t xml:space="preserve">VIBRA </t>
  </si>
  <si>
    <t>TAMBOR 200L</t>
  </si>
  <si>
    <t>TURBINA COMPLETA</t>
  </si>
  <si>
    <t>COLETOR INTERMEDIARIO</t>
  </si>
  <si>
    <t>COXINHO DA CABINE(4 BUCHAS E PARAFUSOS)</t>
  </si>
  <si>
    <t>TAMPA DO FILTRO DE AR</t>
  </si>
  <si>
    <t>04/05/2026  COMBOIO BARÃO</t>
  </si>
  <si>
    <t>COMPROU EM BARÃO</t>
  </si>
  <si>
    <t>JOCA COMPROU</t>
  </si>
  <si>
    <t xml:space="preserve">JOCA COMPROU </t>
  </si>
  <si>
    <t>04/05/2026   OLEO</t>
  </si>
  <si>
    <t>130 M2  ( ROLO 25M = 6 ROLOS)</t>
  </si>
  <si>
    <r>
      <t xml:space="preserve">12/05/2026                </t>
    </r>
    <r>
      <rPr>
        <b/>
        <sz val="11"/>
        <color rgb="FFFF0000"/>
        <rFont val="Aptos Narrow"/>
        <family val="2"/>
        <scheme val="minor"/>
      </rPr>
      <t>MANTA TERMICA          130m2</t>
    </r>
  </si>
  <si>
    <t>ROLO 50m2 - 2 FACES - 1,20X41,66mm</t>
  </si>
  <si>
    <t>LEROY MERLYN (AXTONI)</t>
  </si>
  <si>
    <t>11/05/2026                OLEOS LUBRAX (OFICINA)</t>
  </si>
  <si>
    <t>CHEGOU 12/05</t>
  </si>
  <si>
    <t xml:space="preserve">ROLO 25m2 - 2 FACES(0,13mm) - 120X25MM </t>
  </si>
  <si>
    <t>UNIÃO IMPERMEABILIZANTES (DRYKO)</t>
  </si>
  <si>
    <t>3CT (FABRICAÇÃO PROPRIA)</t>
  </si>
  <si>
    <t>ECOMIX (LLEV)</t>
  </si>
  <si>
    <t>ROLO 65m2 - 10mm</t>
  </si>
  <si>
    <t xml:space="preserve">ROLO 10m2 - 3mm </t>
  </si>
  <si>
    <t xml:space="preserve">MERCADO LIVRE </t>
  </si>
  <si>
    <t>TWL PNEUS</t>
  </si>
  <si>
    <r>
      <t xml:space="preserve">13/05/2026 PNEU EMPILHADEIRA  </t>
    </r>
    <r>
      <rPr>
        <b/>
        <sz val="11"/>
        <color rgb="FFFF0000"/>
        <rFont val="Aptos Narrow"/>
        <family val="2"/>
        <scheme val="minor"/>
      </rPr>
      <t>28X9 - 15</t>
    </r>
  </si>
  <si>
    <t>28X12.5-15 24L HAU LT IND TT PTO</t>
  </si>
  <si>
    <t>28X12.5-15 AT SOLIDO G PREMIUM 1020YS- GRIPM.</t>
  </si>
  <si>
    <t>VALOR AVISTA</t>
  </si>
  <si>
    <t>GRIPMASTER (CANTU)</t>
  </si>
  <si>
    <t>2 dias</t>
  </si>
  <si>
    <t>13/05/2026  COMBOIO NOVO</t>
  </si>
  <si>
    <t>FILTRO DIESEL COMPLETO</t>
  </si>
  <si>
    <t>TAMPA TAMBOR 200L</t>
  </si>
  <si>
    <t>28X9-15 14L TT G-IND 230 GRP COMP</t>
  </si>
  <si>
    <t>14/05/2026 HB20 PRATA</t>
  </si>
  <si>
    <t>185/60 R 15</t>
  </si>
  <si>
    <t>BLOCO 14X19X39 C/ FUNDO</t>
  </si>
  <si>
    <t>LRX  DUNLOP 185/ 60 R15</t>
  </si>
  <si>
    <t xml:space="preserve">SPEED MAX  185/60 R15 MH01 88H </t>
  </si>
  <si>
    <t xml:space="preserve">ALVORADA KELLY EDGE </t>
  </si>
  <si>
    <t>TWI 185/60 R15 84H POWER CONTACT 2 CONTINENTAL</t>
  </si>
  <si>
    <t>TWI 185/60 R15 84H ULTRA CONTACT 2 CONTINENTAL</t>
  </si>
  <si>
    <t xml:space="preserve">TWI 185/60 R15 88H ULTIMAX ONE GENERAL </t>
  </si>
  <si>
    <t>TWI 185/60 R15 88H  XL BRAVURIS 5HM BARUM</t>
  </si>
  <si>
    <t>TWI 185/60 R15 88H  XL ECOCONECT 6 CONTINENTAL</t>
  </si>
  <si>
    <t>14/05/2026   PATROL</t>
  </si>
  <si>
    <t>IMPERIAL PEÇAS</t>
  </si>
  <si>
    <t>USOU O DO DANIEL (COMPRAR OUTRO)</t>
  </si>
  <si>
    <t>14/05/2026 CONSTRUÇÃO MARCO)</t>
  </si>
  <si>
    <t>14/05/2026 D20</t>
  </si>
  <si>
    <t>HARO</t>
  </si>
  <si>
    <t>18/05/2026 USINA</t>
  </si>
  <si>
    <t>CORRENTE TRANSPORTADORA COMPLETA</t>
  </si>
  <si>
    <t xml:space="preserve">ROLETES PARA ESTEIRA PRINCIPAL </t>
  </si>
  <si>
    <r>
      <t xml:space="preserve">CÓD 1267612 </t>
    </r>
    <r>
      <rPr>
        <sz val="11"/>
        <color theme="1"/>
        <rFont val="Aptos"/>
        <family val="2"/>
      </rPr>
      <t>CHAPA DE DESGASTE</t>
    </r>
  </si>
  <si>
    <r>
      <t xml:space="preserve">CÓD 1267613 </t>
    </r>
    <r>
      <rPr>
        <sz val="11"/>
        <color theme="1"/>
        <rFont val="Aptos"/>
        <family val="2"/>
      </rPr>
      <t xml:space="preserve">CHAPA DE DESGASTE </t>
    </r>
  </si>
  <si>
    <r>
      <t xml:space="preserve">CÓD 1295432 </t>
    </r>
    <r>
      <rPr>
        <sz val="11"/>
        <color theme="1"/>
        <rFont val="Aptos"/>
        <family val="2"/>
      </rPr>
      <t xml:space="preserve">MANCAL PARA ELEVADOR </t>
    </r>
  </si>
  <si>
    <r>
      <t xml:space="preserve">CÓD 1440618 </t>
    </r>
    <r>
      <rPr>
        <sz val="11"/>
        <color theme="1"/>
        <rFont val="Aptos"/>
        <family val="2"/>
      </rPr>
      <t>PROTEÇÃO DO BRAÇO DO AGITADOR DIREITO</t>
    </r>
  </si>
  <si>
    <r>
      <t>CÓD1550616</t>
    </r>
    <r>
      <rPr>
        <sz val="11"/>
        <color theme="1"/>
        <rFont val="Aptos"/>
        <family val="2"/>
      </rPr>
      <t xml:space="preserve"> PROTEÇÃO DO BRAÇO DO AGITADOR ESQUERDO </t>
    </r>
  </si>
  <si>
    <r>
      <t xml:space="preserve">CÓD 1528262 </t>
    </r>
    <r>
      <rPr>
        <sz val="11"/>
        <color theme="1"/>
        <rFont val="Aptos"/>
        <family val="2"/>
      </rPr>
      <t xml:space="preserve">PÁ DO MISTURADOR </t>
    </r>
  </si>
  <si>
    <r>
      <t xml:space="preserve">CÓD J902128 </t>
    </r>
    <r>
      <rPr>
        <sz val="11"/>
        <color theme="1"/>
        <rFont val="Aptos"/>
        <family val="2"/>
      </rPr>
      <t xml:space="preserve">PORCA SEXTAVADA </t>
    </r>
  </si>
  <si>
    <r>
      <t xml:space="preserve">CÓD J902388 </t>
    </r>
    <r>
      <rPr>
        <sz val="11"/>
        <color theme="1"/>
        <rFont val="Aptos"/>
        <family val="2"/>
      </rPr>
      <t>ARRUELA DE PRESSÃO</t>
    </r>
  </si>
  <si>
    <r>
      <t xml:space="preserve">CÓD J949228 </t>
    </r>
    <r>
      <rPr>
        <sz val="11"/>
        <color theme="1"/>
        <rFont val="Aptos"/>
        <family val="2"/>
      </rPr>
      <t xml:space="preserve">PARAFUSO SEXTAVADO </t>
    </r>
  </si>
  <si>
    <r>
      <t xml:space="preserve">CÓDI J 420137 </t>
    </r>
    <r>
      <rPr>
        <sz val="11"/>
        <color theme="1"/>
        <rFont val="Aptos"/>
        <family val="2"/>
      </rPr>
      <t xml:space="preserve">ROLO GUIA </t>
    </r>
  </si>
  <si>
    <t>ServParts</t>
  </si>
  <si>
    <t>AMMANN</t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</si>
  <si>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41106153</t>
    </r>
    <r>
      <rPr>
        <sz val="12"/>
        <color theme="1"/>
        <rFont val="Aptos"/>
        <family val="2"/>
      </rPr>
      <t xml:space="preserve"> PROT BRAÇO ESQ</t>
    </r>
  </si>
  <si>
    <r>
      <t xml:space="preserve">CÓD 41106151 </t>
    </r>
    <r>
      <rPr>
        <sz val="12"/>
        <color theme="1"/>
        <rFont val="Aptos"/>
        <family val="2"/>
      </rPr>
      <t>PROT BRAÇO DIR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</si>
  <si>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41106137</t>
    </r>
    <r>
      <rPr>
        <sz val="12"/>
        <color theme="1"/>
        <rFont val="Aptos"/>
        <family val="2"/>
      </rPr>
      <t xml:space="preserve"> BRAÇO DIR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</si>
  <si>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41106138</t>
    </r>
    <r>
      <rPr>
        <sz val="12"/>
        <color theme="1"/>
        <rFont val="Aptos"/>
        <family val="2"/>
      </rPr>
      <t xml:space="preserve"> BRAÇO ESQ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</si>
  <si>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10103304</t>
    </r>
    <r>
      <rPr>
        <sz val="12"/>
        <color theme="1"/>
        <rFont val="Aptos"/>
        <family val="2"/>
      </rPr>
      <t xml:space="preserve"> KIT CORRENTE ELEV</t>
    </r>
  </si>
  <si>
    <r>
      <t xml:space="preserve">CÓD 41101232 </t>
    </r>
    <r>
      <rPr>
        <sz val="12"/>
        <color theme="1"/>
        <rFont val="Aptos"/>
        <family val="2"/>
      </rPr>
      <t>PALHETA</t>
    </r>
  </si>
  <si>
    <r>
      <t xml:space="preserve">CÓD 80101060 </t>
    </r>
    <r>
      <rPr>
        <sz val="12"/>
        <color theme="1"/>
        <rFont val="Aptos"/>
        <family val="2"/>
      </rPr>
      <t>PORCA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</si>
  <si>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80104077</t>
    </r>
    <r>
      <rPr>
        <sz val="12"/>
        <color theme="1"/>
        <rFont val="Aptos"/>
        <family val="2"/>
      </rPr>
      <t xml:space="preserve"> ARRUELA</t>
    </r>
  </si>
  <si>
    <r>
      <t xml:space="preserve">CÓD 80106617 </t>
    </r>
    <r>
      <rPr>
        <sz val="12"/>
        <color theme="1"/>
        <rFont val="Aptos"/>
        <family val="2"/>
      </rPr>
      <t>PARAFUSO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</si>
  <si>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40101604</t>
    </r>
    <r>
      <rPr>
        <sz val="12"/>
        <color theme="1"/>
        <rFont val="Aptos"/>
        <family val="2"/>
      </rPr>
      <t xml:space="preserve"> CHAPA PERFURADA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</si>
  <si>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20101605</t>
    </r>
    <r>
      <rPr>
        <sz val="12"/>
        <color theme="1"/>
        <rFont val="Aptos"/>
        <family val="2"/>
      </rPr>
      <t xml:space="preserve"> PLACA DE DESGASTE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</si>
  <si>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80104459</t>
    </r>
    <r>
      <rPr>
        <sz val="12"/>
        <color theme="1"/>
        <rFont val="Aptos"/>
        <family val="2"/>
      </rPr>
      <t xml:space="preserve"> MANCAL COM ROLAMENTO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</si>
  <si>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10105837</t>
    </r>
    <r>
      <rPr>
        <sz val="12"/>
        <color theme="1"/>
        <rFont val="Aptos"/>
        <family val="2"/>
      </rPr>
      <t xml:space="preserve"> ROLO GUIA</t>
    </r>
  </si>
  <si>
    <t>CÓD 1519402 Cubo</t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</si>
  <si>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J901944 Parafuso sextavado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</si>
  <si>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J902269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Arruela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</si>
  <si>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J902130 Porca sextavado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</si>
  <si>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J949228 Parafuso sextavado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</si>
  <si>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1550573 Chapa 2x48x48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</si>
  <si>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J902388  Arruela de pressão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</si>
  <si>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J902128 Porca sextavado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</si>
  <si>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1517992 Chapa do misturador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</si>
  <si>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1519349 Braço agitador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</si>
  <si>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1519401 Braço agitador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</si>
  <si>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1550615 Protetor do braço agitador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</si>
  <si>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1550612 Protetor do braço agitador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</si>
  <si>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1222956 Rolo</t>
    </r>
  </si>
  <si>
    <r>
      <t>CÓD</t>
    </r>
    <r>
      <rPr>
        <sz val="12"/>
        <color theme="1"/>
        <rFont val="Aptos"/>
        <family val="2"/>
      </rPr>
      <t xml:space="preserve"> </t>
    </r>
    <r>
      <rPr>
        <sz val="12"/>
        <color rgb="FFEE0000"/>
        <rFont val="Aptos"/>
        <family val="2"/>
      </rPr>
      <t>1303240 Rolete de suporte</t>
    </r>
  </si>
  <si>
    <t>18/05/2026 BIDIM</t>
  </si>
  <si>
    <t>PONTO DO BOMB.</t>
  </si>
  <si>
    <t>CASA FERREIRA</t>
  </si>
  <si>
    <t xml:space="preserve">GEOTEXTIL NÃO TECIDO GRT 10 2,30 X 100MTS </t>
  </si>
  <si>
    <t>MANTA GEOTEXTIL BIDIM 2,30L</t>
  </si>
  <si>
    <t>2.30</t>
  </si>
  <si>
    <t>MANTA DRENASOLO 2,30 X 100MTS 105 G/M</t>
  </si>
  <si>
    <t>50X3mts (M2 115)</t>
  </si>
  <si>
    <t xml:space="preserve">MANTA DRENASOL 2,30X100M 105 GM </t>
  </si>
  <si>
    <t>19/05/2026 GRAXA P/ ROLAMENTOS</t>
  </si>
  <si>
    <t>GRAXA LUB CALCIO 20KG INGRAX</t>
  </si>
  <si>
    <t>LUBRAX AUTOLITH 2 - TB 170KG</t>
  </si>
  <si>
    <t xml:space="preserve">PETROL CFLEX MP2 170 KG AZUL </t>
  </si>
  <si>
    <t xml:space="preserve">MARFAK MP2 170KG </t>
  </si>
  <si>
    <t>KARTER BLUTER 170KM</t>
  </si>
  <si>
    <t>20/05/2026 USINA</t>
  </si>
  <si>
    <t>19/05/2026 TELHAS (MAURO)</t>
  </si>
  <si>
    <t xml:space="preserve">ECOMIX </t>
  </si>
  <si>
    <t xml:space="preserve">700 TELHAS </t>
  </si>
  <si>
    <t xml:space="preserve">20/05/2026         DIESEL S10 </t>
  </si>
  <si>
    <t>20/05/2026 PA CARREGADEIRA  NEW HOLLAND W130B</t>
  </si>
  <si>
    <t>FILTRO DE AR CONDICIONADO MX5453</t>
  </si>
  <si>
    <t xml:space="preserve">POLIFILTROS </t>
  </si>
  <si>
    <t>DONALDSON</t>
  </si>
  <si>
    <r>
      <t xml:space="preserve">20/05/2026 ONIBUS </t>
    </r>
    <r>
      <rPr>
        <b/>
        <sz val="11"/>
        <color rgb="FFFF0000"/>
        <rFont val="Aptos Narrow"/>
        <family val="2"/>
        <scheme val="minor"/>
      </rPr>
      <t>FREIO MOTOR LO915</t>
    </r>
  </si>
  <si>
    <r>
      <t xml:space="preserve">NACIONAL                      </t>
    </r>
    <r>
      <rPr>
        <b/>
        <sz val="11"/>
        <color rgb="FFFF0000"/>
        <rFont val="Aptos Narrow"/>
        <family val="2"/>
        <scheme val="minor"/>
      </rPr>
      <t>ORIGINAL</t>
    </r>
  </si>
  <si>
    <r>
      <t xml:space="preserve">REAL 040                         </t>
    </r>
    <r>
      <rPr>
        <b/>
        <sz val="11"/>
        <color rgb="FFFF0000"/>
        <rFont val="Aptos Narrow"/>
        <family val="2"/>
        <scheme val="minor"/>
      </rPr>
      <t>ROCHESTER</t>
    </r>
  </si>
  <si>
    <r>
      <t xml:space="preserve">REAL 040                         </t>
    </r>
    <r>
      <rPr>
        <b/>
        <sz val="11"/>
        <color rgb="FFFF0000"/>
        <rFont val="Aptos Narrow"/>
        <family val="2"/>
        <scheme val="minor"/>
      </rPr>
      <t>BR COMPANY</t>
    </r>
  </si>
  <si>
    <t>21/05/2026  TELHAS GALVONIZADAS</t>
  </si>
  <si>
    <t>5 TELHAS DE  3MTS 0,43</t>
  </si>
  <si>
    <t>21/05/2026 BARRACHA PRA BANCADA 2,33X0.64</t>
  </si>
  <si>
    <t>MESTRE ÇO</t>
  </si>
  <si>
    <t>PERMEAÇO</t>
  </si>
  <si>
    <t>PEFIL MINAS</t>
  </si>
  <si>
    <t xml:space="preserve">21/05/2026         DIESEL S10 </t>
  </si>
  <si>
    <t>REI DA BORRACHA</t>
  </si>
  <si>
    <t>ELDORADO BARRACHAS</t>
  </si>
  <si>
    <t>JC DECOR</t>
  </si>
  <si>
    <t>SEM ESTOQUE</t>
  </si>
  <si>
    <t>22/05/2026 ESPARGIDOR</t>
  </si>
  <si>
    <t>BRACINHO DO VIDRO MANUAL</t>
  </si>
  <si>
    <t>QUINTA</t>
  </si>
  <si>
    <t>MAÇANETA EXTERNA (MOTORISTA)</t>
  </si>
  <si>
    <t xml:space="preserve">MINAS ACESSORIOS </t>
  </si>
  <si>
    <t>22/05/2026 PRANCHA</t>
  </si>
  <si>
    <t>2  LADO PASSEIRO</t>
  </si>
  <si>
    <t xml:space="preserve">25/05/2026         DIESEL S10 </t>
  </si>
  <si>
    <t>PERFIL TELHAS 0.43</t>
  </si>
  <si>
    <t>PERFILADOS JP 0.40</t>
  </si>
  <si>
    <t>THERMO TELHAS(DOX) 0.43</t>
  </si>
  <si>
    <t>31 99636-3249</t>
  </si>
  <si>
    <t>RICARDO                    3199343-3216</t>
  </si>
  <si>
    <t>NAYARA                        3199062-2953</t>
  </si>
  <si>
    <t>ANA CLAUDIA            3199670-3530</t>
  </si>
  <si>
    <t>JUNIA                              3198281-8446</t>
  </si>
  <si>
    <t>JAMILY                          3198855-4170</t>
  </si>
  <si>
    <t>JENNIFER                    3199833-1966</t>
  </si>
  <si>
    <t>FILTROS  25/05/2026 GERADOR           2PV</t>
  </si>
  <si>
    <t xml:space="preserve">DCML </t>
  </si>
  <si>
    <t>25/05/2026 D20</t>
  </si>
  <si>
    <t>255/75 R15</t>
  </si>
  <si>
    <t>LRX PNEUS</t>
  </si>
  <si>
    <t>TWI PNEUS</t>
  </si>
  <si>
    <t>SPEEDMAX PNEUS</t>
  </si>
  <si>
    <t xml:space="preserve">KELLY EDGE SUV 2HT </t>
  </si>
  <si>
    <t xml:space="preserve">DESTINATION HT FIRESTONE </t>
  </si>
  <si>
    <t xml:space="preserve">PNEU STORE </t>
  </si>
  <si>
    <t>DESTINATION FIRESTONE ATX</t>
  </si>
  <si>
    <t>26/05/2026 OLEO (BARÃO)</t>
  </si>
  <si>
    <t>COND. PAGMTO</t>
  </si>
  <si>
    <t>30/60/90</t>
  </si>
  <si>
    <t>LUBRAX (1 UND)</t>
  </si>
  <si>
    <t>LUBRAX (40 UND)</t>
  </si>
  <si>
    <t>*********</t>
  </si>
  <si>
    <t>VALVULA DE ESFERA 4"</t>
  </si>
  <si>
    <t>VALVULA DE ESFERA 3"</t>
  </si>
  <si>
    <t>FLANGES 4"</t>
  </si>
  <si>
    <t>FLANGES 3"</t>
  </si>
  <si>
    <t>QTD</t>
  </si>
  <si>
    <t>26/05/2026 CONEXÕES - BIPARTIDA</t>
  </si>
  <si>
    <t>USADO</t>
  </si>
  <si>
    <t>LUBRIFIC</t>
  </si>
  <si>
    <t>INCOL MP2 AZUL</t>
  </si>
  <si>
    <t>SHELL (1 UND)</t>
  </si>
  <si>
    <t>SHELL (40 UND)</t>
  </si>
  <si>
    <r>
      <t xml:space="preserve">RIMULA R3 EXTRA 15W40                           </t>
    </r>
    <r>
      <rPr>
        <b/>
        <sz val="11"/>
        <color rgb="FFFF0000"/>
        <rFont val="Aptos Narrow"/>
        <family val="2"/>
        <scheme val="minor"/>
      </rPr>
      <t xml:space="preserve">  40 BALDES</t>
    </r>
  </si>
  <si>
    <r>
      <t xml:space="preserve">LUBRAX TOP TURBO15W40                           </t>
    </r>
    <r>
      <rPr>
        <b/>
        <sz val="11"/>
        <color rgb="FFFF0000"/>
        <rFont val="Aptos Narrow"/>
        <family val="2"/>
        <scheme val="minor"/>
      </rPr>
      <t xml:space="preserve">  40 BALDES</t>
    </r>
  </si>
  <si>
    <t>26/05/2026 FILTRO DE R CONDICIONADO</t>
  </si>
  <si>
    <t xml:space="preserve">UNIDADE </t>
  </si>
  <si>
    <t>26/05/2026 RETRO JCB</t>
  </si>
  <si>
    <t>SUPORTE DO MOTOR</t>
  </si>
  <si>
    <t>27/05/2026  SANITARIOS USINA</t>
  </si>
  <si>
    <t>LEROY MERLYN</t>
  </si>
  <si>
    <t>C/ CX Acoplada 3 e 6 l Eco Plus Celite</t>
  </si>
  <si>
    <t>C/ CX Acoplada + mecanismo liberty 6 l Santamarina</t>
  </si>
  <si>
    <t>C/ CX Acoplada  6 l quadrada valentina Santamarina</t>
  </si>
  <si>
    <t>LAURA CAMPEÃO NORTE/SUL</t>
  </si>
  <si>
    <t>(31) 97237-9410</t>
  </si>
  <si>
    <t>LUBRAX AUTOLITH A2 - TB 170KG</t>
  </si>
  <si>
    <t>MADESOL</t>
  </si>
  <si>
    <t>C/ CX Acoplada  6 l quadrada PARATI</t>
  </si>
  <si>
    <t xml:space="preserve">MONOBLOCO DVG DECORALITA </t>
  </si>
  <si>
    <t>27/05/2026 DIVISORIA ALOJAMENTO</t>
  </si>
  <si>
    <t>3,00X2,14X2,52</t>
  </si>
  <si>
    <t>FORRO PVC (USADO) C/ PORTA</t>
  </si>
  <si>
    <t>DIVISORIAS PROGRESSO (NOVA) C/ PORTA</t>
  </si>
  <si>
    <t>DIVISORIAS PROGRESSO (USADA) C/ PORTA</t>
  </si>
  <si>
    <t>JR DIVISORIAS (USADA) C/ PORTA</t>
  </si>
  <si>
    <t>29/05/2026 PREVENTIVA BARÃO 250HRS</t>
  </si>
  <si>
    <t>JUNHO</t>
  </si>
  <si>
    <t>FILTRO DE AR CONDICIONADO</t>
  </si>
  <si>
    <t>01/05/2026 PREVENTIVA STRADA RTQ</t>
  </si>
  <si>
    <t xml:space="preserve">01/06/2026 OLEO GERADOR </t>
  </si>
  <si>
    <t>TELHAS GALVONIZADAS 3,30 mts</t>
  </si>
  <si>
    <t>DCML</t>
  </si>
  <si>
    <t>ALL FLEET TURBO 15W40 API CI 4 20L</t>
  </si>
  <si>
    <t xml:space="preserve">01/06/2026         DIESEL S10 </t>
  </si>
  <si>
    <t>VIBRA  / TAMBOR</t>
  </si>
  <si>
    <r>
      <t xml:space="preserve">03/06/2026     ÓLEO             </t>
    </r>
    <r>
      <rPr>
        <b/>
        <sz val="12"/>
        <color theme="1"/>
        <rFont val="Aptos Narrow"/>
        <family val="2"/>
        <scheme val="minor"/>
      </rPr>
      <t>REF:      SAE 50 CATERPILLAR</t>
    </r>
  </si>
  <si>
    <t>03/06/2026 FILTROS COMBOIO</t>
  </si>
  <si>
    <r>
      <t xml:space="preserve">VIBRA  / BALDE 20L      </t>
    </r>
    <r>
      <rPr>
        <b/>
        <sz val="11"/>
        <color rgb="FFFF0000"/>
        <rFont val="Aptos Narrow"/>
        <family val="2"/>
        <scheme val="minor"/>
      </rPr>
      <t>40 BD</t>
    </r>
  </si>
  <si>
    <t>FF 246 FILTRO COMBUSTIVEL</t>
  </si>
  <si>
    <t>C281012 FILTRO DE AR</t>
  </si>
  <si>
    <t>E52KPD36 FILTRO COMBUSTIVEL</t>
  </si>
  <si>
    <t>E160H01D28 FILTRO LUBRIFICANTE</t>
  </si>
  <si>
    <r>
      <t xml:space="preserve">SHELL / TAMBOR 209L      </t>
    </r>
    <r>
      <rPr>
        <b/>
        <sz val="11"/>
        <color rgb="FFFF0000"/>
        <rFont val="Aptos Narrow"/>
        <family val="2"/>
        <scheme val="minor"/>
      </rPr>
      <t>4 TB</t>
    </r>
  </si>
  <si>
    <t>03/06/2026 BALANÇA P/ LABORATORIO</t>
  </si>
  <si>
    <t>SUMLABOR</t>
  </si>
  <si>
    <t>03/06/2026 TERMOMETRO P/ LABORATORIO</t>
  </si>
  <si>
    <t>03/06/2026 FOGÃO 2 BOCAS P/ LABORATORIO</t>
  </si>
  <si>
    <t>PICNÔMETRO SEM TERMÔMETRO GAY LUSSAC 500 ML</t>
  </si>
  <si>
    <t>BECKER DE VIDRO GRADUADO FORMA BAIXA 1000 ML</t>
  </si>
  <si>
    <t>BASTÃO DE VIDRO BOROSSILICATO 8 X 300 MM</t>
  </si>
  <si>
    <t xml:space="preserve">03/06/2026 VIDRARIA P/LABORATORIO </t>
  </si>
  <si>
    <t xml:space="preserve">GULTON </t>
  </si>
  <si>
    <t>BALANÇA DE PRECISÃO</t>
  </si>
  <si>
    <r>
      <t xml:space="preserve">TECNOLUB    TAMBOR 209L      </t>
    </r>
    <r>
      <rPr>
        <b/>
        <sz val="11"/>
        <color rgb="FFFF0000"/>
        <rFont val="Aptos Narrow"/>
        <family val="2"/>
        <scheme val="minor"/>
      </rPr>
      <t>4 TB</t>
    </r>
  </si>
  <si>
    <t>ENTREGA EM BARÃO</t>
  </si>
  <si>
    <t xml:space="preserve">08/06/2026         DIESEL S10 </t>
  </si>
  <si>
    <t>JOELHO 100</t>
  </si>
  <si>
    <t>JOELHO 150</t>
  </si>
  <si>
    <t>08/06/2026  REPARO EM PROPUSORA</t>
  </si>
  <si>
    <t>PROPUSORA</t>
  </si>
  <si>
    <t>INDISPONIVEL</t>
  </si>
  <si>
    <t xml:space="preserve">TE 150 X 100 </t>
  </si>
  <si>
    <t>ANEL BORRACHA ESGOTO 100</t>
  </si>
  <si>
    <t>ANEL BORRACHA ESGOTO 150</t>
  </si>
  <si>
    <t>05/06/2026 SEM 618D</t>
  </si>
  <si>
    <t>SEMI EIXO LONGO</t>
  </si>
  <si>
    <t xml:space="preserve">DISCO DE FREIO </t>
  </si>
  <si>
    <t xml:space="preserve">RETENTOR DO CUBO DA RODA </t>
  </si>
  <si>
    <t>ARRUELA ARANHA</t>
  </si>
  <si>
    <t>ANEL TRAVA</t>
  </si>
  <si>
    <t>COLA DE CANO</t>
  </si>
  <si>
    <t>05/06/2026                             PVC MARCO (CALHA)</t>
  </si>
  <si>
    <t>PSD 460/1</t>
  </si>
  <si>
    <t>LF 3349</t>
  </si>
  <si>
    <t>PSC 410 (FS 1280)</t>
  </si>
  <si>
    <t>UA46909PUK (P902309)</t>
  </si>
  <si>
    <t>OLEOS 09/06/2026</t>
  </si>
  <si>
    <t>08/06/2026 FILTROS ESCAVADEIRA</t>
  </si>
  <si>
    <t xml:space="preserve">MOGIGLASS </t>
  </si>
  <si>
    <t>PROLAB</t>
  </si>
  <si>
    <t xml:space="preserve"> RECUPERAÇÃO PONTEIRA</t>
  </si>
  <si>
    <t>09/06/2026                   SEM 618D</t>
  </si>
  <si>
    <t>DIAS RECUPERADORA</t>
  </si>
  <si>
    <t>TUBO 100</t>
  </si>
  <si>
    <t>TUBO 150</t>
  </si>
  <si>
    <t>P553000</t>
  </si>
  <si>
    <t>KC 107</t>
  </si>
  <si>
    <t>149554A1</t>
  </si>
  <si>
    <t xml:space="preserve">CONFIRMAR DISPONIBILIDADE </t>
  </si>
  <si>
    <t>VIBRAR (LUBRAX)</t>
  </si>
  <si>
    <t>JEAN</t>
  </si>
  <si>
    <t>HF 35368 (HY427W)</t>
  </si>
  <si>
    <t>FILTROS PATROL</t>
  </si>
  <si>
    <t>DIESEL  10/06/2026 (COCA COLA)</t>
  </si>
  <si>
    <t>11/06/2026 PA CARREG. NEW HOLLAND</t>
  </si>
  <si>
    <t>SEGUIMENTO LATERAL</t>
  </si>
  <si>
    <t>PORCA SEXTAVADA 3/4</t>
  </si>
  <si>
    <t>PARAFUSO LAMINA 3/4 X 2 1/2</t>
  </si>
  <si>
    <t>BRITAÇO</t>
  </si>
  <si>
    <t>M TRACTOR</t>
  </si>
  <si>
    <t>SEGUIMENTO CENTRAL</t>
  </si>
  <si>
    <t xml:space="preserve">TIAGO </t>
  </si>
  <si>
    <t>15/06/2026 FILTROS DE CONDICIONADO BARÃO</t>
  </si>
  <si>
    <t>15/06/2026-  TE01 AGERA</t>
  </si>
  <si>
    <t>P550942</t>
  </si>
  <si>
    <t>FS19581</t>
  </si>
  <si>
    <t>E1600L</t>
  </si>
  <si>
    <t>CF2001 (ARS2868 / C14200)</t>
  </si>
  <si>
    <t>TAMPA COMBUSTIVEL  NEW HOLLAND RG170B</t>
  </si>
  <si>
    <t>15/06/2026 PATROL</t>
  </si>
  <si>
    <t>FS19627 (FS19802) RACOR</t>
  </si>
  <si>
    <t>15/06/2026 FILTROS HANZINHO (RC01 ROLO HAMM HD14)</t>
  </si>
  <si>
    <t xml:space="preserve">16/06/2026 ROLO PNEUMÁTICO DYNAPAC CP274  </t>
  </si>
  <si>
    <t>BOMBA DE AGUA (REMOCIL)</t>
  </si>
  <si>
    <t>DIESEL S10 16/06/2026</t>
  </si>
  <si>
    <t>7 A 14 DIAS</t>
  </si>
  <si>
    <t>14 DIAS</t>
  </si>
  <si>
    <t>16/06/2026 INSTALAÇÃO DE ARDOSIAS</t>
  </si>
  <si>
    <t>CANTONEIRAS</t>
  </si>
  <si>
    <t>PARAFUSO CASTELO</t>
  </si>
  <si>
    <t>UNITÁRIO</t>
  </si>
  <si>
    <t xml:space="preserve"> BOMBA DE ENGRENAGEM 3"</t>
  </si>
  <si>
    <t>17/06/2026          BOMBA DE ENGRENAGEM</t>
  </si>
  <si>
    <t xml:space="preserve">HBA - SP </t>
  </si>
  <si>
    <t>DISPONIBILIDADE</t>
  </si>
  <si>
    <t>30DD</t>
  </si>
  <si>
    <t>ELIFRAN - SP</t>
  </si>
  <si>
    <t>FB - SP</t>
  </si>
  <si>
    <t>ROLMAQ</t>
  </si>
  <si>
    <t>SB BOMBAS</t>
  </si>
  <si>
    <t>20 DIAS</t>
  </si>
  <si>
    <t>17/06/202 CINTAS</t>
  </si>
  <si>
    <t>TALHA 3 TON</t>
  </si>
  <si>
    <t>TALHA ALAVANCA 3TON</t>
  </si>
  <si>
    <t>TUBO PT SC SCH 40 1''</t>
  </si>
  <si>
    <t>BARRAS 25MM</t>
  </si>
  <si>
    <t>EDINARA</t>
  </si>
  <si>
    <t>15 MTS</t>
  </si>
  <si>
    <t>18/06/2026 PATROL RG170B</t>
  </si>
  <si>
    <t>16/06/2026 TUBOS</t>
  </si>
  <si>
    <t>16/06/2026 FERRAGENS</t>
  </si>
  <si>
    <t>LAMINA C 5/8 15F F 5/8</t>
  </si>
  <si>
    <t xml:space="preserve">PARAFUSO LAMINA 5/8 G8 </t>
  </si>
  <si>
    <t>PORCA LAMINA  5/8 X 2 1/4 12.9</t>
  </si>
  <si>
    <t xml:space="preserve">18/06/2026 COMBOIO QPT </t>
  </si>
  <si>
    <t xml:space="preserve">VENTILADOR </t>
  </si>
  <si>
    <t>660L</t>
  </si>
  <si>
    <t>CONFIRMAR DISP.</t>
  </si>
  <si>
    <t xml:space="preserve">UNITARIO </t>
  </si>
  <si>
    <t>30/60</t>
  </si>
  <si>
    <t>18/06/2026 OLEO HIDRAULICO PC's</t>
  </si>
  <si>
    <t>22/06/2026 PNEU CARREGADEIRA 130W 20.5 - 25 L3</t>
  </si>
  <si>
    <t>28/56/84 DIAS</t>
  </si>
  <si>
    <t xml:space="preserve">TWI PNEUS  </t>
  </si>
  <si>
    <t>CONCERTO</t>
  </si>
  <si>
    <t xml:space="preserve">1 SEMANA </t>
  </si>
  <si>
    <t>STRIKER L3 20 LONAS</t>
  </si>
  <si>
    <t xml:space="preserve">GRIPMASTER L3 20 LONAS </t>
  </si>
  <si>
    <t>30/60/90/120 DIAS</t>
  </si>
  <si>
    <t>IMEDIATO</t>
  </si>
  <si>
    <t xml:space="preserve">GOODYEAR L3 /E G-3TL </t>
  </si>
  <si>
    <t>CARTÃO 10X</t>
  </si>
  <si>
    <t>SEP PNEUS</t>
  </si>
  <si>
    <t>CONSERTO</t>
  </si>
  <si>
    <t>SPEEDMAX</t>
  </si>
  <si>
    <t xml:space="preserve">YOKOHAMA 16L Y583H G3/L3 </t>
  </si>
  <si>
    <t>15CM PROFUN X 100MM DIAMERO</t>
  </si>
  <si>
    <t>RENATO SO MAQUINAS</t>
  </si>
  <si>
    <t>VANESSA BH FUROS</t>
  </si>
  <si>
    <t>BRASIF</t>
  </si>
  <si>
    <t>22/06/2026 FURO NA LAJE (1 FURO)</t>
  </si>
  <si>
    <r>
      <t xml:space="preserve">SHELL Tellus S2 VX 46                                   </t>
    </r>
    <r>
      <rPr>
        <b/>
        <sz val="11"/>
        <color rgb="FFFF0000"/>
        <rFont val="Aptos Narrow"/>
        <family val="2"/>
        <scheme val="minor"/>
      </rPr>
      <t>TAMBOR</t>
    </r>
  </si>
  <si>
    <r>
      <t xml:space="preserve">SHELL Tellus S2 VX 46                                   </t>
    </r>
    <r>
      <rPr>
        <b/>
        <sz val="11"/>
        <color rgb="FFFF0000"/>
        <rFont val="Aptos Narrow"/>
        <family val="2"/>
        <scheme val="minor"/>
      </rPr>
      <t>BALDE</t>
    </r>
  </si>
  <si>
    <r>
      <t xml:space="preserve">VIBRA (LUBRAX) Hydra HV 46                 </t>
    </r>
    <r>
      <rPr>
        <b/>
        <sz val="11"/>
        <color rgb="FFFF0000"/>
        <rFont val="Aptos Narrow"/>
        <family val="2"/>
        <scheme val="minor"/>
      </rPr>
      <t>TAMBOR</t>
    </r>
  </si>
  <si>
    <r>
      <t>VIBRA (LUBRAX) Hydra HV 46</t>
    </r>
    <r>
      <rPr>
        <b/>
        <sz val="11"/>
        <color rgb="FFFF0000"/>
        <rFont val="Aptos Narrow"/>
        <family val="2"/>
        <scheme val="minor"/>
      </rPr>
      <t xml:space="preserve">                  BALDE</t>
    </r>
  </si>
  <si>
    <t>GRIPMASTER G-EARTH 1130HH E3L3</t>
  </si>
  <si>
    <t xml:space="preserve">1 DIA </t>
  </si>
  <si>
    <t>SPEEDMAX 20L TL E3/L3</t>
  </si>
  <si>
    <t>GRIPMASTER  20PR E3L3</t>
  </si>
  <si>
    <t xml:space="preserve">22/06/2026 TALHA 1TON 3 METROS </t>
  </si>
  <si>
    <t>FURO LIDER</t>
  </si>
  <si>
    <t>MERCADO LIVRE  Talha Manual Start 1 Ton Corrente 5m</t>
  </si>
  <si>
    <t>MERCADO LIVRE Talha Manual 1,0 Ton Elev 3,0 M Vonder</t>
  </si>
  <si>
    <t xml:space="preserve">JOEMIO </t>
  </si>
  <si>
    <t>CONFERMETA Talha Manual 1000kg 3 mts VONDER</t>
  </si>
  <si>
    <t>TAMBASA Talha Manual 1 Ton 3 mts INT</t>
  </si>
  <si>
    <t>TAMBASA Talha Manual 1 Ton 3 mts LYNUS</t>
  </si>
  <si>
    <t>TAMBASA Talha Manual 1 Ton 3 mts VUCAN</t>
  </si>
  <si>
    <t>TAMBASA Talha Manual 1 Ton 3 mts CSM/STA</t>
  </si>
  <si>
    <t>22/06/2026 FILTRO DE AR CONDICIOMADO COMBOIO</t>
  </si>
  <si>
    <t>CU5877 FILTRO ACD MBB ATEGO 2425</t>
  </si>
  <si>
    <t>23/06/2026 SOPRADOR</t>
  </si>
  <si>
    <t>NÃO PRECISOU</t>
  </si>
  <si>
    <t xml:space="preserve">COMPROU NOVA </t>
  </si>
  <si>
    <t>TAMBASA (SOPRADOR  TERMICO 2000W VONDER )</t>
  </si>
  <si>
    <t>CONFERMETA (SOPRADOR  TERMICO 1500W VONDER )</t>
  </si>
  <si>
    <t>LAMINA C 5/8 13F F 5/8</t>
  </si>
  <si>
    <t>22/06/2026 BLOCOS</t>
  </si>
  <si>
    <t>SAMPAIO</t>
  </si>
  <si>
    <t>HR3439- FILTRO COMB.  ELEM. INOX ROSCA 1.1/2"</t>
  </si>
  <si>
    <t>BLOCO CANELEIRA 14X19X39</t>
  </si>
  <si>
    <t>BLOCO CIMENTO 14X19X39 VAZADO</t>
  </si>
  <si>
    <t>BLOCO CIMENTO 14X19X39 C/ FUNDO</t>
  </si>
  <si>
    <t>23/06/2026 FILTRO DIESEL  USINA</t>
  </si>
  <si>
    <t>23/06/2026 FILTROS AR CONDICIONADO BARÃO</t>
  </si>
  <si>
    <t xml:space="preserve">Filtro fb1250 </t>
  </si>
  <si>
    <t>Filtro 12y9791181</t>
  </si>
  <si>
    <t>Filtro 5771436</t>
  </si>
  <si>
    <t>Filtro 3318111</t>
  </si>
  <si>
    <t>Filtro 5804439</t>
  </si>
  <si>
    <t>BODIPASA</t>
  </si>
  <si>
    <t>FILTRO OLEO MOTOR</t>
  </si>
  <si>
    <t>DISCO DE FREIO (PAR)</t>
  </si>
  <si>
    <t>TAMBOR DE FREIO (PAR)</t>
  </si>
  <si>
    <t>PASTILHA DE FREIO (PAR)</t>
  </si>
  <si>
    <t>LONA DE FREIO (PAR)</t>
  </si>
  <si>
    <t>CANTONEIRA         2" X 3/16</t>
  </si>
  <si>
    <t>BARRA CHATA        2" X 1/8</t>
  </si>
  <si>
    <t>OLEO MOTOR (3 LTS) 15W40</t>
  </si>
  <si>
    <t>23/06/2026 BARRA E CANTONEIRA</t>
  </si>
  <si>
    <t>curvas 90graus de 2"</t>
  </si>
  <si>
    <t>flanges sobrepostos de 2"</t>
  </si>
  <si>
    <t>flanges sobrepostos de 4"</t>
  </si>
  <si>
    <t>Te de 3"</t>
  </si>
  <si>
    <t>Te de 2"</t>
  </si>
  <si>
    <t>válvula de 1"</t>
  </si>
  <si>
    <t>metros de tubo 1"</t>
  </si>
  <si>
    <t>curvas 3"</t>
  </si>
  <si>
    <t>23/06/2026 TUBOS TANQUE USINA</t>
  </si>
  <si>
    <t>válvula de 2" flangeada fecho rápido</t>
  </si>
  <si>
    <t>tubo de 3" sch40 sem costura</t>
  </si>
  <si>
    <t>tubo 4" sch40 sem costura</t>
  </si>
  <si>
    <t>18 mts</t>
  </si>
  <si>
    <t>WILLIAN</t>
  </si>
  <si>
    <t>VALVULA DE ESFERA 2"</t>
  </si>
  <si>
    <t>TUBO 2"</t>
  </si>
  <si>
    <t>TUBO 4"</t>
  </si>
  <si>
    <t>TUBO 3"</t>
  </si>
  <si>
    <t>TUBO 1"</t>
  </si>
  <si>
    <t>TE 3"</t>
  </si>
  <si>
    <t>CURVAS 3"</t>
  </si>
  <si>
    <t xml:space="preserve">VALVULA 1" </t>
  </si>
  <si>
    <t>23/06/2026 ANEIS CIRCULARES</t>
  </si>
  <si>
    <t>PERFILADOS SÃO JORGE</t>
  </si>
  <si>
    <t>ANÉIS CIRCULARES DE VIGA U 4" DIAM EXT 2.400</t>
  </si>
  <si>
    <t>24/06/2026  REGISTRO COM FLANGE</t>
  </si>
  <si>
    <t xml:space="preserve">TUBOS IPIRANGA </t>
  </si>
  <si>
    <t>24/06/2026 OLEO USINA OT100</t>
  </si>
  <si>
    <t>OLEO OT 100 TB</t>
  </si>
  <si>
    <t>ANEL DE SEGUIMENTO STANDER</t>
  </si>
  <si>
    <t>BURRINHO DE FREIO</t>
  </si>
  <si>
    <t>23/06/2026 UNO VERMELHO (4 CILINDROS)</t>
  </si>
  <si>
    <t>CASQUILHO MOVEL STANDER</t>
  </si>
  <si>
    <t>CASQUILHO FIXO STANDER</t>
  </si>
  <si>
    <t>24/06/2026 XCMG</t>
  </si>
  <si>
    <t>SERMATEC</t>
  </si>
  <si>
    <t>URANO</t>
  </si>
  <si>
    <t>ESTICADOR DE CORREIA (TENSOR)</t>
  </si>
  <si>
    <t>2 - REGISTRO C/ FLANGE 2"</t>
  </si>
  <si>
    <t>WILSON -AUTO GIRO</t>
  </si>
  <si>
    <t>25/06/2026 TUBOS USINA</t>
  </si>
  <si>
    <t>CURVA 180°</t>
  </si>
  <si>
    <t>25/06/2026 SOLDA</t>
  </si>
  <si>
    <t xml:space="preserve">19/06/2026         DIESEL S10 </t>
  </si>
  <si>
    <t>ELETRODO 3.25 7018</t>
  </si>
  <si>
    <t>ELETRODO 2.5 7018</t>
  </si>
  <si>
    <t>MASCARA DIGITAL P/ SOLDA</t>
  </si>
  <si>
    <t xml:space="preserve">BONE ARABE </t>
  </si>
  <si>
    <t>1 LATA</t>
  </si>
  <si>
    <t>ART SOLDAS</t>
  </si>
  <si>
    <t>DISCO DE CORTE 7X1,6X7/8</t>
  </si>
  <si>
    <t>25/06/2026 UNO VERMELHO</t>
  </si>
  <si>
    <t>CILINDRO RODA TRASEIRA (D)</t>
  </si>
  <si>
    <t xml:space="preserve">KIT DE JUNTA DO MOTOR </t>
  </si>
  <si>
    <t>JG DE VELAS</t>
  </si>
  <si>
    <t>JG CABO DE VELAS</t>
  </si>
  <si>
    <t>AMORTECEDOR DIANTEIRO</t>
  </si>
  <si>
    <t>COXIM DIANTEIRO (DOS AMORTECEDORES)</t>
  </si>
  <si>
    <t>BATENTE</t>
  </si>
  <si>
    <t>COIFA</t>
  </si>
  <si>
    <t>CUBO TRASEIRO</t>
  </si>
  <si>
    <t>WILSON AUTO GIRO</t>
  </si>
  <si>
    <t>ALL LUBRIFICANTES</t>
  </si>
  <si>
    <t>10 DIAS</t>
  </si>
  <si>
    <t>ULTIMO 19/06</t>
  </si>
  <si>
    <t>PAGAMENTO ANTECIPADO</t>
  </si>
  <si>
    <t>PASSAR POR LIBERAÇÃO</t>
  </si>
  <si>
    <t xml:space="preserve">25/06/2026         DIESEL S10 </t>
  </si>
  <si>
    <t>Retorno do virabrequim da polia</t>
  </si>
  <si>
    <t>Vilabrequim</t>
  </si>
  <si>
    <t>correia dentada</t>
  </si>
  <si>
    <t>embreagem</t>
  </si>
  <si>
    <t>Tensor correia dentada</t>
  </si>
  <si>
    <t xml:space="preserve"> /06/2026  FILTROS GERADOR           2PV</t>
  </si>
  <si>
    <t xml:space="preserve">26/06/2026 ESCAVADEIRA HIDRAULICA </t>
  </si>
  <si>
    <t>BRAÇO DO LIMPADOR DE PARABRISA</t>
  </si>
  <si>
    <t xml:space="preserve">PALHETA </t>
  </si>
  <si>
    <t>BMC HYUNDAI</t>
  </si>
  <si>
    <t>CEAPE PEÇAS</t>
  </si>
  <si>
    <t>PALHETA 7 DIAS</t>
  </si>
  <si>
    <t>CHEGA SEGUNDA</t>
  </si>
  <si>
    <t>ENGEPEÇAS</t>
  </si>
  <si>
    <t>ZFC30210</t>
  </si>
  <si>
    <t>J8R10240</t>
  </si>
  <si>
    <t>ESCAVADEIRA</t>
  </si>
  <si>
    <t>PÁ CARREGADERA</t>
  </si>
  <si>
    <t>FCD 2057</t>
  </si>
  <si>
    <t>29/06/2026 PRANCHA</t>
  </si>
  <si>
    <t>29/06/2026 PATROL</t>
  </si>
  <si>
    <t>PINO DA LANÇA COM ARRUELAS</t>
  </si>
  <si>
    <t>DISPETRL</t>
  </si>
  <si>
    <t>IMPERIAL</t>
  </si>
  <si>
    <t>26/06/2026 MATERIAIS LABORATORIO</t>
  </si>
  <si>
    <t>PICNOMETRO 500ML</t>
  </si>
  <si>
    <t>BEQUER 1000ML</t>
  </si>
  <si>
    <t>BASTAO DE VIDRO 300MM X8MM</t>
  </si>
  <si>
    <t>KEVEN</t>
  </si>
  <si>
    <t>30/06/2026 UNO VERMELHO</t>
  </si>
  <si>
    <t>30/06/2026 FERRAMENTA TERRAPLANAGEM</t>
  </si>
  <si>
    <t>2 INCHADA</t>
  </si>
  <si>
    <t>2 PA</t>
  </si>
  <si>
    <t>1 PICARETA</t>
  </si>
  <si>
    <t>JUNTA DE CABEÇOTE FIBRA</t>
  </si>
  <si>
    <t>10 PARAFUSOS CABEÇOTE</t>
  </si>
  <si>
    <t>30/06/2026 ACOPLAMENTO USINA</t>
  </si>
  <si>
    <t>ACOPLAMENTO COM CORRENTE</t>
  </si>
  <si>
    <t>DINASA</t>
  </si>
  <si>
    <t>MTK</t>
  </si>
  <si>
    <t xml:space="preserve">01/07/2026         DIESEL S10 </t>
  </si>
  <si>
    <t>JULHO</t>
  </si>
  <si>
    <t>01/07/2026 OLEO HIDRAULICO 68</t>
  </si>
  <si>
    <t>LUBRAX HYDRA XP 68</t>
  </si>
  <si>
    <t>VALOR UNITARIO</t>
  </si>
  <si>
    <t>01/07/2026 FRETE</t>
  </si>
  <si>
    <t>ULTRAPESS</t>
  </si>
  <si>
    <t>RETIRA</t>
  </si>
  <si>
    <t>TWL</t>
  </si>
  <si>
    <t>30 DIAS</t>
  </si>
  <si>
    <t>20 DIA</t>
  </si>
  <si>
    <t>MARLY</t>
  </si>
  <si>
    <t>30/07/2026 RECARGA EXTINTORES USINA</t>
  </si>
  <si>
    <t>ABC 8KG</t>
  </si>
  <si>
    <t>BC 50 KG</t>
  </si>
  <si>
    <t>CO2 6KG</t>
  </si>
  <si>
    <t>BC 6KG</t>
  </si>
  <si>
    <t>ESPULMA 10 L</t>
  </si>
  <si>
    <t>30/07/2026 17,00m3 30Mpa slump 20+_2.  Brita 1 e 2</t>
  </si>
  <si>
    <t>GERAMIX (GERALDO) 31 99699-7804</t>
  </si>
  <si>
    <t>02/07/2026 SAVEIRO</t>
  </si>
  <si>
    <t>LONA DE FREIO</t>
  </si>
  <si>
    <t>BUCHA DO LEQUE (PEQUENA E GRANDE)</t>
  </si>
  <si>
    <t>BIELETA</t>
  </si>
  <si>
    <t>PONTEIRA</t>
  </si>
  <si>
    <t>COXIM</t>
  </si>
  <si>
    <t xml:space="preserve">OLEO MOTOR </t>
  </si>
  <si>
    <t>WILSON</t>
  </si>
  <si>
    <t>CUBO C/ ROLAMENTO TRASEIRO</t>
  </si>
  <si>
    <t>CUBO C/ ROLAMENTO DIANTEIRO</t>
  </si>
  <si>
    <t>PIVO INFERIOR</t>
  </si>
  <si>
    <t>PIVO SUPERIOR</t>
  </si>
  <si>
    <t>FILTRO DE INJEÇÃO</t>
  </si>
  <si>
    <t>02/07/2026 ELETRODO USINA</t>
  </si>
  <si>
    <t>ESAB OK 2.5</t>
  </si>
  <si>
    <t>1 KG</t>
  </si>
  <si>
    <t xml:space="preserve">02/07/2026 CA 50 USINA </t>
  </si>
  <si>
    <t>8MM</t>
  </si>
  <si>
    <t>10MM</t>
  </si>
  <si>
    <t>12.5MM</t>
  </si>
  <si>
    <t>20MM</t>
  </si>
  <si>
    <t>QTD BARRAS 12MTS</t>
  </si>
  <si>
    <t>02/07/2026 PIPA</t>
  </si>
  <si>
    <t>STA CLARA</t>
  </si>
  <si>
    <t>BLOCO CANALETA 14X19X39</t>
  </si>
  <si>
    <t>03/07/2026 COMPRA DE EXTINTORES</t>
  </si>
  <si>
    <t>ABC  8KG</t>
  </si>
  <si>
    <t xml:space="preserve">MEDIDOR DE GASOLINA </t>
  </si>
  <si>
    <t>06/07/2026 L200</t>
  </si>
  <si>
    <t>CORREIA DENTADA</t>
  </si>
  <si>
    <t xml:space="preserve">TURBINA </t>
  </si>
  <si>
    <t>06/07/2026 ONIBUS</t>
  </si>
  <si>
    <t>ANTERIOR</t>
  </si>
  <si>
    <t>3199583-4943</t>
  </si>
  <si>
    <t>3298489-2666</t>
  </si>
  <si>
    <t>3199202-9030</t>
  </si>
  <si>
    <t>3199938-8797</t>
  </si>
  <si>
    <t>DEPOSITO LANA (VINICIOS)</t>
  </si>
  <si>
    <t>PEDRAS CONGONHAS (FLÁVIO)</t>
  </si>
  <si>
    <t>JUPEL PETROLEO (MATHEUS)</t>
  </si>
  <si>
    <t>CORR PLASTIK PEAD (SANDRA)</t>
  </si>
  <si>
    <t>NOVA</t>
  </si>
  <si>
    <t>MEGA TURBO</t>
  </si>
  <si>
    <t>REFORMADA</t>
  </si>
  <si>
    <t>ABC TURBO</t>
  </si>
  <si>
    <t>NOVO A BASE DE TROCA</t>
  </si>
  <si>
    <t>REFORMADA BASE DE TROCA</t>
  </si>
  <si>
    <r>
      <t>06/07/2026 PATROL</t>
    </r>
    <r>
      <rPr>
        <b/>
        <sz val="11"/>
        <color rgb="FFFF0000"/>
        <rFont val="Aptos Narrow"/>
        <family val="2"/>
        <scheme val="minor"/>
      </rPr>
      <t xml:space="preserve"> TURBINA AX40 - P/N 3596945 - S/N 21071105</t>
    </r>
  </si>
  <si>
    <r>
      <t xml:space="preserve">TCL TURBO </t>
    </r>
    <r>
      <rPr>
        <b/>
        <sz val="11"/>
        <color rgb="FFFF0000"/>
        <rFont val="Aptos Narrow"/>
        <family val="2"/>
        <scheme val="minor"/>
      </rPr>
      <t xml:space="preserve">HOLSET </t>
    </r>
  </si>
  <si>
    <t>REFERÊNCIAS COMERCIAIS G28</t>
  </si>
  <si>
    <t xml:space="preserve">07/07/2026         DIESEL S10 </t>
  </si>
  <si>
    <t>04/07/2026 L200</t>
  </si>
  <si>
    <t>BOMBA DAGUA</t>
  </si>
  <si>
    <t>LUBRAX TOP TURBO 15W40</t>
  </si>
  <si>
    <t>RIMULA RT4 X 15W40 SHELL</t>
  </si>
  <si>
    <t>07/07/2026 OLEO 15W40 BARÃO 15 BD</t>
  </si>
  <si>
    <t>PALHETA</t>
  </si>
  <si>
    <t>07/07/2026  PARAFUSO TANQUE</t>
  </si>
  <si>
    <t>PREÇO FINO</t>
  </si>
  <si>
    <t xml:space="preserve">PARAFUSO 14X040 </t>
  </si>
  <si>
    <t>PORCA 2.00 CH 22</t>
  </si>
  <si>
    <t>ARRUELA M-14</t>
  </si>
  <si>
    <t>30/07/2026 RECARGA EXTINTORES USINA (MARCO)</t>
  </si>
  <si>
    <t>30/07/2026 RECARGA EXTINTORES USINA (DEBORA)</t>
  </si>
  <si>
    <t>ABC 6KG</t>
  </si>
  <si>
    <t>08/07/2026 OLEO USINA OT100</t>
  </si>
  <si>
    <t>6kg</t>
  </si>
  <si>
    <t>8kg</t>
  </si>
  <si>
    <t>RECARGA</t>
  </si>
  <si>
    <t>COMPRA</t>
  </si>
  <si>
    <t>BC50KG</t>
  </si>
  <si>
    <t>BC 50KG</t>
  </si>
  <si>
    <t>TOTAL INSTALAÇÕES</t>
  </si>
  <si>
    <t>ATTACK INCÊNDIO</t>
  </si>
  <si>
    <t>CASA DO LUBRIFICANTE</t>
  </si>
  <si>
    <t>PETRONAS</t>
  </si>
  <si>
    <t>EXTIMINAS</t>
  </si>
  <si>
    <t>PROT-ENG</t>
  </si>
  <si>
    <t>08/07/2026 OLEO HIDAULICO 68</t>
  </si>
  <si>
    <t>GRAND LUB KARTER</t>
  </si>
  <si>
    <t>BEL LUBE TEXACO RANDO HD68</t>
  </si>
  <si>
    <t xml:space="preserve">BEL LUBE IPIRANGA IPITUR 68 </t>
  </si>
  <si>
    <t>DISPETRAL INGRAX</t>
  </si>
  <si>
    <t>DISPETRAL TEXACO</t>
  </si>
  <si>
    <t>VALOR UNI</t>
  </si>
  <si>
    <t>TECNOLUB LUBRAX</t>
  </si>
  <si>
    <t>DELLAS LUBRAX</t>
  </si>
  <si>
    <t>10/07/2026 DIESEL S10-G28 10.000L</t>
  </si>
  <si>
    <t>não tem cadastro G28</t>
  </si>
  <si>
    <t>15dias</t>
  </si>
  <si>
    <t xml:space="preserve">13/07/2026 CORREIA USINA </t>
  </si>
  <si>
    <t>14/07/2026 ONIBUS</t>
  </si>
  <si>
    <t>14/07/2026 FORD 1723 IUP0C79</t>
  </si>
  <si>
    <t>AR CONDICIONADO ELETRICO</t>
  </si>
  <si>
    <t>CONDENSADOR DO AR CONDICIONADO</t>
  </si>
  <si>
    <t>14/07/2026 COMBOIO</t>
  </si>
  <si>
    <t>REVITALIZADOR DE PAINEL</t>
  </si>
  <si>
    <t>BORRACHA 60X40 PARA BARRO</t>
  </si>
  <si>
    <t>TAPETE</t>
  </si>
  <si>
    <t>14/07/2026 UNO VERMELHO</t>
  </si>
  <si>
    <t xml:space="preserve">14/07/2026 FRETE </t>
  </si>
  <si>
    <t>SERVPARTS</t>
  </si>
  <si>
    <t>RODONAVES</t>
  </si>
  <si>
    <t>TWL SP</t>
  </si>
  <si>
    <t>ULTRAPESS SP</t>
  </si>
  <si>
    <t>ALFA RS</t>
  </si>
  <si>
    <t>14/07/2026 TUBOS E FERRAGENS</t>
  </si>
  <si>
    <t>TUBO 1" SEM COSTURA</t>
  </si>
  <si>
    <t>BARRA CHATA 2" X 3/16</t>
  </si>
  <si>
    <t>PARABOLT 2/4 X 7"</t>
  </si>
  <si>
    <t>TELEPAR</t>
  </si>
  <si>
    <t>14/07/2026 OLEOS COMBOIO TXW-6H44</t>
  </si>
  <si>
    <t>AUTO GIRO</t>
  </si>
  <si>
    <t>14/07/2026  REGISTRO COM FLANGE</t>
  </si>
  <si>
    <t>2 - REGISTRO C/ FLANGE 3"</t>
  </si>
  <si>
    <t>FLUXOVAL</t>
  </si>
  <si>
    <t>HIPRESS</t>
  </si>
  <si>
    <t>150LBS</t>
  </si>
  <si>
    <t>15/07/2026                 GRAMA</t>
  </si>
  <si>
    <t xml:space="preserve">AGÉO ( GRAMA ESMERALDA) </t>
  </si>
  <si>
    <t>VALOR M2</t>
  </si>
  <si>
    <t>200M2</t>
  </si>
  <si>
    <t>CRESCENTE GRAMAS</t>
  </si>
  <si>
    <t>AURÊ GRAMAS</t>
  </si>
  <si>
    <t>HIDRAU BRUNO</t>
  </si>
  <si>
    <t xml:space="preserve">3 CORREIAS </t>
  </si>
  <si>
    <t>EXTINAL</t>
  </si>
  <si>
    <t>2 MANG. M30</t>
  </si>
  <si>
    <t>5 PINTURAS</t>
  </si>
  <si>
    <t>CASA DO LUBRIFICANTE          DELVAC MX ESP EVOL 15W40 BD 20L</t>
  </si>
  <si>
    <t>CASA DO LUBRIFICANTE          DELVAC MX ESP EVOL 15W40 LT</t>
  </si>
  <si>
    <t>GS GRAMAS SINTETICA 20MM / A VISTA</t>
  </si>
  <si>
    <t>GS GRAMAS SINTETICA 20MM /CARTÃO</t>
  </si>
  <si>
    <t xml:space="preserve">NELSON GRAMAS ( GRAMA ESMERALDA) </t>
  </si>
  <si>
    <t>15/07/2026 DIESEL S10-G28 10.000L</t>
  </si>
  <si>
    <t xml:space="preserve">ANTERIOR </t>
  </si>
  <si>
    <t>ATUAL</t>
  </si>
  <si>
    <t>FS 1015</t>
  </si>
  <si>
    <t>PSD 960/1</t>
  </si>
  <si>
    <t>BENNATI TUBOS</t>
  </si>
  <si>
    <t>INSTALADA COM OS MATERIAIS 16.000,00</t>
  </si>
  <si>
    <t>LR GRAMAS  ( GRAMA ESMERALDA)</t>
  </si>
  <si>
    <t>15/07/2026  CHAPA GALVANIZADA</t>
  </si>
  <si>
    <t>FERRO E AÇO (CHAPA GALVANIZADA 0.50MM)</t>
  </si>
  <si>
    <t>MINAS CHAPAS (3.00X1.20 CH 14)</t>
  </si>
  <si>
    <t>17/06/2026 PERCIANA DAVIDSON</t>
  </si>
  <si>
    <t>17/07/2026 ONIBUS</t>
  </si>
  <si>
    <t>GETULIO</t>
  </si>
  <si>
    <t>REAL ÔNIBUS</t>
  </si>
  <si>
    <t>VIDRO BH</t>
  </si>
  <si>
    <t>CARVALHO</t>
  </si>
  <si>
    <t>PARABRISA / LADO MOTORISTA</t>
  </si>
  <si>
    <t>POLIMENTO</t>
  </si>
  <si>
    <t>16/07/2026 PARAFUSOS USINA</t>
  </si>
  <si>
    <t>PARAFUSO AUTOBROCANTES 1/4 X 3/4 - 1º LINHA</t>
  </si>
  <si>
    <t>PARAFUSO AUTOBROCANTES 1/4 X 1" - 1º LINHA</t>
  </si>
  <si>
    <t>FIX CENTER</t>
  </si>
  <si>
    <t>CAJU chapa 1.4mm 5 fitas</t>
  </si>
  <si>
    <t>CAJU CHAPA 14MM 6 FITAS</t>
  </si>
  <si>
    <t xml:space="preserve">16/07/2026 FRETE </t>
  </si>
  <si>
    <t>BRIX</t>
  </si>
  <si>
    <t>20/07/2026 DIESEL S10-G28 10.000L</t>
  </si>
  <si>
    <t>limite exedido</t>
  </si>
  <si>
    <t>17/07/2026 PA CARREGA W130</t>
  </si>
  <si>
    <t>FILTRO DE COMBUSTIVEL</t>
  </si>
  <si>
    <t>FRETE BRAZ (KIDI)</t>
  </si>
  <si>
    <t>20/07/2026 PRANCHA</t>
  </si>
  <si>
    <t>POLIA</t>
  </si>
  <si>
    <t>MANGUEIRA INTERCULE</t>
  </si>
  <si>
    <t>VANUCCI</t>
  </si>
  <si>
    <t>DEVA</t>
  </si>
  <si>
    <t>17/07/2026 PATROL MN02</t>
  </si>
  <si>
    <t xml:space="preserve">Filtro combustível </t>
  </si>
  <si>
    <t xml:space="preserve">Filtro racor </t>
  </si>
  <si>
    <t>Filtro de óleo</t>
  </si>
  <si>
    <t>17/07/2026 CARCAÇA PC04</t>
  </si>
  <si>
    <t>J &amp; T</t>
  </si>
  <si>
    <t>OLEO AMBRA MASTERGOLD HSP BB 20L</t>
  </si>
  <si>
    <t xml:space="preserve">FRETE BRZ CRISTIAN </t>
  </si>
  <si>
    <t>20/07/2026 ANDAIMES</t>
  </si>
  <si>
    <t>8 MTS 1X1</t>
  </si>
  <si>
    <t>SAPATA</t>
  </si>
  <si>
    <t>SCI</t>
  </si>
  <si>
    <t>MINASLOCC</t>
  </si>
  <si>
    <t>DIAGONAL</t>
  </si>
  <si>
    <t>ORE ANDAIMES</t>
  </si>
  <si>
    <t>ENPEÇAS</t>
  </si>
  <si>
    <t>20/07/2026 PATROL</t>
  </si>
  <si>
    <t>SENSOR DE FREIO 24V</t>
  </si>
  <si>
    <t>VALVULA DE FREIO</t>
  </si>
  <si>
    <t>21/07/2026 ESPARGIDOR WOLKS 17.280</t>
  </si>
  <si>
    <t>22/07/2026 FRETE BH/7 LAGOAS</t>
  </si>
  <si>
    <t>FABIO</t>
  </si>
  <si>
    <t xml:space="preserve">JOSE </t>
  </si>
  <si>
    <t>DEIVISON</t>
  </si>
  <si>
    <t xml:space="preserve">SILAS </t>
  </si>
  <si>
    <t>22/07/0026 PNEU SAVEIRO 4</t>
  </si>
  <si>
    <t>RODAS SAVEIRO</t>
  </si>
  <si>
    <t>NORTE SUL PEÇAS ARO 14</t>
  </si>
  <si>
    <t>REI DO VOLKS ARO 14</t>
  </si>
  <si>
    <t>22/07/2026 FILTROS ROLO PATA LISO(81)</t>
  </si>
  <si>
    <t>WK9542X</t>
  </si>
  <si>
    <t>AF26614</t>
  </si>
  <si>
    <t>P 55-0848</t>
  </si>
  <si>
    <t>SPEEDMAX Pneu Ceat Aro 14 EcoDrive 175/65R14 82T</t>
  </si>
  <si>
    <t>ALVORADA - Maxlife Goodyear</t>
  </si>
  <si>
    <t>Pneu Itaro Aro 14 MH01 175/65R14 86T XL</t>
  </si>
  <si>
    <t>Pneu Barum by Continental Aro 14 Bravuris 5HM 175/65R14 82T</t>
  </si>
  <si>
    <t>Pneu Pirelli Aro 14 P400 Evo 175/65R14 82H</t>
  </si>
  <si>
    <t>Pneu Goodyear Aro 14 Assurance Maxlife 175/65R14 86H XL</t>
  </si>
  <si>
    <t>LF16480 ESTOQUE</t>
  </si>
  <si>
    <t>23/07/2026 LIXADEIRA ELETRICA 220V BOSCH</t>
  </si>
  <si>
    <t>23/07/2026 ASPIRADOR INDUSTRIAL(SUGAR AGUA)</t>
  </si>
  <si>
    <t>23/07/2026 PERSIANA DAIVISON</t>
  </si>
  <si>
    <t xml:space="preserve">23/07/2026 PARAFUSADEIRA </t>
  </si>
  <si>
    <t>CONFERMETA ELDORADO</t>
  </si>
  <si>
    <t>23/07/2026 RADIO MAQUINA</t>
  </si>
  <si>
    <t>24/07/2026 METALON 50X30 NA #18</t>
  </si>
  <si>
    <t>CAJU</t>
  </si>
  <si>
    <t>FERRO E AÇO</t>
  </si>
  <si>
    <t>9 BARRAS METALON 50X30 NA #18</t>
  </si>
  <si>
    <t>ANTONIO SERRALHERIA</t>
  </si>
  <si>
    <t>24/07/2026 UNO VERMELHO (4 CILINDROS)</t>
  </si>
  <si>
    <t>24/07/2026  L200</t>
  </si>
  <si>
    <t>FILTRO LUBRIFICANTE</t>
  </si>
  <si>
    <t>OLEO MOTOR (4 LTS) 15W40</t>
  </si>
  <si>
    <t>FILTRO DIESEL</t>
  </si>
  <si>
    <t xml:space="preserve">27/07/2026 EXTINTORES </t>
  </si>
  <si>
    <t>ABC 6 KG (COMPRA)</t>
  </si>
  <si>
    <t xml:space="preserve">ABC 6KG </t>
  </si>
  <si>
    <t>27/07/2026 PREVENTIVA ROLOS XCMG</t>
  </si>
  <si>
    <t>27/07/2026 DIESEL S10-G28 10.000L</t>
  </si>
  <si>
    <t>não tem cadastro</t>
  </si>
  <si>
    <t xml:space="preserve">27/07/2026 OLEO MOTOR </t>
  </si>
  <si>
    <t>VALOR UNID</t>
  </si>
  <si>
    <t>LF 16480 (EQUIP. 52)</t>
  </si>
  <si>
    <t>KIT FILTRO DE AR (PIMARIO E SEGUNDARIO) ( EQUIP. 81 E 52)</t>
  </si>
  <si>
    <t>ESMERILADEIRA  4.1/2  220V</t>
  </si>
  <si>
    <t>1 manivela de levantar vidro</t>
  </si>
  <si>
    <t>1 jogo de lona traseira</t>
  </si>
  <si>
    <t>2 Retentor traseiro do cubo</t>
  </si>
  <si>
    <t>210 Ribites</t>
  </si>
  <si>
    <t>4 Retentor do eixo S</t>
  </si>
  <si>
    <t>4 bucha do eixo S traseiro</t>
  </si>
  <si>
    <t>2 Retentor diateiro</t>
  </si>
  <si>
    <t>5 prisioneiro semi eixo</t>
  </si>
  <si>
    <t>2 Rolamento grande dianteiro</t>
  </si>
  <si>
    <t>2 Rolamento pequeno dianteiro</t>
  </si>
  <si>
    <t>1 Rolamento grande traseiro</t>
  </si>
  <si>
    <t>1 Rolamento pequeno traseiro</t>
  </si>
  <si>
    <t>1 Eixo S esq</t>
  </si>
  <si>
    <t>1 Eixo S dir</t>
  </si>
  <si>
    <t>1 Lona de freio dianteira</t>
  </si>
  <si>
    <t>28/07/2026 PIPA IQX</t>
  </si>
  <si>
    <t>CRUZETA TOMADA DE FORÇA</t>
  </si>
  <si>
    <t xml:space="preserve">PINO </t>
  </si>
  <si>
    <t>BASCULAR</t>
  </si>
  <si>
    <t xml:space="preserve">29/07/2026 SERRA CIRCULAR </t>
  </si>
  <si>
    <t>29/07/2026 CHAVE DE IMPACTO</t>
  </si>
  <si>
    <t>29/07/2026 ELEMENTO INJETOR GE01</t>
  </si>
  <si>
    <t>DCML - COMPLETO</t>
  </si>
  <si>
    <t>ABC TURBO-REFORMA</t>
  </si>
  <si>
    <t>28/07/2026 PULVERIZDOR 20L JACTO</t>
  </si>
  <si>
    <t>JACTO JHP 20L</t>
  </si>
  <si>
    <t>28/07/2026 FILTRO SELCON 100 C/ COPO</t>
  </si>
  <si>
    <t>SELCON 100 C/ COPO</t>
  </si>
  <si>
    <t>Bomba Submersa Kintons Kt-105 3500l/h - 50w</t>
  </si>
  <si>
    <r>
      <rPr>
        <b/>
        <sz val="11"/>
        <color rgb="FFFF0000"/>
        <rFont val="Aptos Narrow"/>
        <family val="2"/>
        <scheme val="minor"/>
      </rPr>
      <t>ML-</t>
    </r>
    <r>
      <rPr>
        <b/>
        <sz val="11"/>
        <color theme="1"/>
        <rFont val="Aptos Narrow"/>
        <family val="2"/>
        <scheme val="minor"/>
      </rPr>
      <t xml:space="preserve"> Chave De Impacto 1/2 (13mm) 20v Xr Dcf900 Brushless Dewalt</t>
    </r>
  </si>
  <si>
    <r>
      <rPr>
        <b/>
        <sz val="10"/>
        <color rgb="FFFF0000"/>
        <rFont val="Aptos Narrow"/>
        <family val="2"/>
        <scheme val="minor"/>
      </rPr>
      <t>CONFERMETA</t>
    </r>
    <r>
      <rPr>
        <b/>
        <sz val="10"/>
        <color theme="1"/>
        <rFont val="Aptos Narrow"/>
        <family val="2"/>
        <scheme val="minor"/>
      </rPr>
      <t xml:space="preserve"> - CH IMPAC 1/2 BAT 20V+KIT BATERIA E CARREGADOR DEWALT</t>
    </r>
  </si>
  <si>
    <r>
      <rPr>
        <b/>
        <sz val="11"/>
        <color rgb="FFFF0000"/>
        <rFont val="Aptos Narrow"/>
        <family val="2"/>
        <scheme val="minor"/>
      </rPr>
      <t>CASA DO MEC</t>
    </r>
    <r>
      <rPr>
        <b/>
        <sz val="11"/>
        <color theme="1"/>
        <rFont val="Aptos Narrow"/>
        <family val="2"/>
        <scheme val="minor"/>
      </rPr>
      <t>-Chave De Impacto 1/2 (13mm) 20v Xr Dcf900 Brushless Dewalt</t>
    </r>
  </si>
  <si>
    <r>
      <rPr>
        <b/>
        <sz val="11"/>
        <color rgb="FFFF0000"/>
        <rFont val="Aptos Narrow"/>
        <family val="2"/>
        <scheme val="minor"/>
      </rPr>
      <t>TAMBASA</t>
    </r>
    <r>
      <rPr>
        <b/>
        <sz val="11"/>
        <color theme="1"/>
        <rFont val="Aptos Narrow"/>
        <family val="2"/>
        <scheme val="minor"/>
      </rPr>
      <t xml:space="preserve"> - SERRA CIRCULAR 7 1/4 GKS 150 BOSCH 220</t>
    </r>
  </si>
  <si>
    <r>
      <rPr>
        <b/>
        <sz val="11"/>
        <color rgb="FFFF0000"/>
        <rFont val="Aptos Narrow"/>
        <family val="2"/>
        <scheme val="minor"/>
      </rPr>
      <t>ML</t>
    </r>
    <r>
      <rPr>
        <b/>
        <sz val="11"/>
        <color theme="1"/>
        <rFont val="Aptos Narrow"/>
        <family val="2"/>
        <scheme val="minor"/>
      </rPr>
      <t xml:space="preserve"> - Bosch GKS 130 serra circular 184mm 1300w  frequência 50/60Hz</t>
    </r>
  </si>
  <si>
    <r>
      <rPr>
        <b/>
        <sz val="11"/>
        <color rgb="FFFF0000"/>
        <rFont val="Aptos Narrow"/>
        <family val="2"/>
        <scheme val="minor"/>
      </rPr>
      <t xml:space="preserve">CONFERMETA </t>
    </r>
    <r>
      <rPr>
        <b/>
        <sz val="11"/>
        <color theme="1"/>
        <rFont val="Aptos Narrow"/>
        <family val="2"/>
        <scheme val="minor"/>
      </rPr>
      <t>-  SERRA CIRCULAR 7 1/4 GKS 150 220</t>
    </r>
  </si>
  <si>
    <r>
      <rPr>
        <b/>
        <sz val="11"/>
        <color rgb="FFFF0000"/>
        <rFont val="Aptos Narrow"/>
        <family val="2"/>
        <scheme val="minor"/>
      </rPr>
      <t>CASA DO MEC</t>
    </r>
    <r>
      <rPr>
        <b/>
        <sz val="11"/>
        <color theme="1"/>
        <rFont val="Aptos Narrow"/>
        <family val="2"/>
        <scheme val="minor"/>
      </rPr>
      <t>- SERRA CIRCULAR 7 1/4 GKS 130 BOSCH 220</t>
    </r>
  </si>
  <si>
    <t>29/07/2026 BOMBA SUBIMERSA</t>
  </si>
  <si>
    <t>31/07/2026  PREVENTIVA STRADA RMM</t>
  </si>
  <si>
    <t>FILTRO DE AR FAP 2829</t>
  </si>
  <si>
    <t xml:space="preserve">FILTRO LUBRIFICANTE WO 121 </t>
  </si>
  <si>
    <t>OLEO MOTOR 0W20</t>
  </si>
  <si>
    <t>31/07/2026 L200</t>
  </si>
  <si>
    <t xml:space="preserve">POLIA DO VILABREQUIM </t>
  </si>
  <si>
    <t>MANGUEIRA BAIXO</t>
  </si>
  <si>
    <t>MANGUEIRA CIMA</t>
  </si>
  <si>
    <t>VARETA DE OLEO</t>
  </si>
  <si>
    <t>31/07/2026 ACABADORA 2012 ( COD 58)</t>
  </si>
  <si>
    <t xml:space="preserve">31/07/2026 PRANCHA </t>
  </si>
  <si>
    <t>LONA DE FREIO IVECO BITRUCK</t>
  </si>
  <si>
    <t>NICAMAQUI</t>
  </si>
  <si>
    <t>REAL 040</t>
  </si>
  <si>
    <t>CORREIA  87397416W</t>
  </si>
  <si>
    <t>31/07/2026 FILTROS HANZÃO (COD 51)</t>
  </si>
  <si>
    <t>WK 962/7</t>
  </si>
  <si>
    <t>AR AF2596400JX</t>
  </si>
  <si>
    <t>REBITES ALUMINIO 96</t>
  </si>
  <si>
    <t xml:space="preserve">31/07/2026 FRETE TANQUE USINA </t>
  </si>
  <si>
    <t>FORNECEDOR FRETE RIBEIRÃO PIRES/CONTAGEM</t>
  </si>
  <si>
    <t xml:space="preserve">PRANCHA </t>
  </si>
  <si>
    <t>TRUCK</t>
  </si>
  <si>
    <t>MICA-  PRANCHA 22MTS</t>
  </si>
  <si>
    <t>DANIEL - TRUCK</t>
  </si>
  <si>
    <t>31/07/2026 PA CARREGHADEIRA NEW HOLLAND W130B</t>
  </si>
  <si>
    <t>AGOSTO</t>
  </si>
  <si>
    <t>03/08/2026 FILTRO HANZÃO (COD 51)</t>
  </si>
  <si>
    <t>03/08/2026 DIESEL S10-G28 5.000L</t>
  </si>
  <si>
    <t>ANTERIOR  10.000L</t>
  </si>
  <si>
    <t>ATUAL 5.000L</t>
  </si>
  <si>
    <t>03/08/2026 HANZÃO</t>
  </si>
  <si>
    <t>HELICE DO AR CONDICIONADO</t>
  </si>
  <si>
    <t>03/08/2026 LAMAPAS</t>
  </si>
  <si>
    <t>LAMPADAS H7 24V</t>
  </si>
  <si>
    <t>08/07/2026 RECARGA EXTINTORES USINA (MARCO)</t>
  </si>
  <si>
    <t>04/08/2026 PORTAS BANHEIRO USINA</t>
  </si>
  <si>
    <t>ALUMINAL 3446-2886</t>
  </si>
  <si>
    <t xml:space="preserve">HL FERRAGENS </t>
  </si>
  <si>
    <t>ESQUADRIMINAS</t>
  </si>
  <si>
    <t xml:space="preserve">4 PTS </t>
  </si>
  <si>
    <t>04/08/2026 FRETE AMMANN</t>
  </si>
  <si>
    <t>2 PT100</t>
  </si>
  <si>
    <t>BALANÇA</t>
  </si>
  <si>
    <t xml:space="preserve">04/08/2026 OLEOS </t>
  </si>
  <si>
    <t>AZUL</t>
  </si>
  <si>
    <t>OLEO MOTOR  10W40</t>
  </si>
  <si>
    <t>80W90</t>
  </si>
  <si>
    <t>6L</t>
  </si>
  <si>
    <t>40L</t>
  </si>
  <si>
    <t>ORIGINAL/MOBIL</t>
  </si>
  <si>
    <t>IMBOX VIDROS</t>
  </si>
  <si>
    <t>ALUMINAL</t>
  </si>
  <si>
    <t>60 - 59,5 - 60,5 - 59 X 190CM</t>
  </si>
  <si>
    <t>04/08/2026 PORTAS BANHEIRO USINA -  ALUMINIO</t>
  </si>
  <si>
    <t>04/08/2026 PORTAS BANHEIRO USINA -  MADEIRA</t>
  </si>
  <si>
    <t>VIBRA-LUBRAX</t>
  </si>
  <si>
    <t>04/08/2026 PORTAS BANHEIRO USINA -  VIDRO</t>
  </si>
  <si>
    <t>31/07/2026 FILTROS HANZÃO (COD 51) DONALDSON</t>
  </si>
  <si>
    <r>
      <t xml:space="preserve">WK 962/7  </t>
    </r>
    <r>
      <rPr>
        <sz val="11"/>
        <color rgb="FFFF0000"/>
        <rFont val="Aptos Narrow"/>
        <family val="2"/>
        <scheme val="minor"/>
      </rPr>
      <t>(P550372)</t>
    </r>
  </si>
  <si>
    <r>
      <t xml:space="preserve">FS19914  </t>
    </r>
    <r>
      <rPr>
        <sz val="11"/>
        <color rgb="FFFF0000"/>
        <rFont val="Aptos Narrow"/>
        <family val="2"/>
        <scheme val="minor"/>
      </rPr>
      <t>(P955606)</t>
    </r>
  </si>
  <si>
    <t>06/08/2026 EMULSÃO RR2C</t>
  </si>
  <si>
    <t>VALOR TON</t>
  </si>
  <si>
    <r>
      <t xml:space="preserve">EMAM </t>
    </r>
    <r>
      <rPr>
        <sz val="11"/>
        <color rgb="FFFF0000"/>
        <rFont val="Aptos Narrow"/>
        <family val="2"/>
        <scheme val="minor"/>
      </rPr>
      <t>30DD</t>
    </r>
  </si>
  <si>
    <r>
      <t xml:space="preserve">GRECA </t>
    </r>
    <r>
      <rPr>
        <sz val="11"/>
        <color rgb="FFFF0000"/>
        <rFont val="Aptos Narrow"/>
        <family val="2"/>
        <scheme val="minor"/>
      </rPr>
      <t>30DD</t>
    </r>
  </si>
  <si>
    <r>
      <t xml:space="preserve">GRECA </t>
    </r>
    <r>
      <rPr>
        <sz val="11"/>
        <color rgb="FFFF0000"/>
        <rFont val="Aptos Narrow"/>
        <family val="2"/>
        <scheme val="minor"/>
      </rPr>
      <t>AVISTA</t>
    </r>
  </si>
  <si>
    <r>
      <t xml:space="preserve">EMAM </t>
    </r>
    <r>
      <rPr>
        <sz val="11"/>
        <color rgb="FFFF0000"/>
        <rFont val="Aptos Narrow"/>
        <family val="2"/>
        <scheme val="minor"/>
      </rPr>
      <t>AVISTA</t>
    </r>
  </si>
  <si>
    <t>07/08/2026 l200</t>
  </si>
  <si>
    <t>BALANCIM ADMISSAO MT</t>
  </si>
  <si>
    <t>EIXO BALANCIM DIR. MT</t>
  </si>
  <si>
    <t>VELA AQUECEDOR</t>
  </si>
  <si>
    <t>JUNTA CABECOTE</t>
  </si>
  <si>
    <t>JUNTA COLETOR DESCARG</t>
  </si>
  <si>
    <t xml:space="preserve">ARRUELA 4 </t>
  </si>
  <si>
    <t>JG PARAFUSO CABECOTE 1</t>
  </si>
  <si>
    <t xml:space="preserve">MANGUEIRA SAIDA INTERCOOLE 1 </t>
  </si>
  <si>
    <t>BALANCIM DESCARGA MT 4</t>
  </si>
  <si>
    <t xml:space="preserve"> MANCAL 1</t>
  </si>
  <si>
    <t>10/08/2026 UNO VERMELHO</t>
  </si>
  <si>
    <t>PARABRISA</t>
  </si>
  <si>
    <t>10/08/2026 FERRAGEM</t>
  </si>
  <si>
    <t>BARRAS DE 20MM</t>
  </si>
  <si>
    <t>BARRAS DE 8MM</t>
  </si>
  <si>
    <t>ARRAME PG7 BATIDO</t>
  </si>
  <si>
    <t xml:space="preserve">3KG </t>
  </si>
  <si>
    <t xml:space="preserve">10/08/2026 DIESEL S10-G28 10.000L </t>
  </si>
  <si>
    <t>10/08/2026 MATERIAL HIDRAULICO</t>
  </si>
  <si>
    <t>TUBO DE AGUA 50MM SOLDAVEL</t>
  </si>
  <si>
    <t>20 MTS</t>
  </si>
  <si>
    <t>JOELHO 3/4</t>
  </si>
  <si>
    <t>TE 3/4</t>
  </si>
  <si>
    <t>FLANGE 50MM</t>
  </si>
  <si>
    <t>JOELHO 50MM</t>
  </si>
  <si>
    <t>TE 50MM</t>
  </si>
  <si>
    <t>CAIXA DE AGUA 1000L</t>
  </si>
  <si>
    <t>TUBO 100MM</t>
  </si>
  <si>
    <t>10 MTS</t>
  </si>
  <si>
    <t>REDUÇÃO DE 50X3/4</t>
  </si>
  <si>
    <t>COLA</t>
  </si>
  <si>
    <t>AUTOGLASS</t>
  </si>
  <si>
    <t>ABARAÇADEIRA P/TUBO 50MM C/ BUCHAS E PARAF</t>
  </si>
  <si>
    <t>10/08/2026  CAMERAS PC's DE BARÃO</t>
  </si>
  <si>
    <t>VIDEO MONITORAMENTO (CARTÃO 128GB +- 7DIAS GRAVAÇÃO</t>
  </si>
  <si>
    <t>ATIVAÇÃO</t>
  </si>
  <si>
    <t>MENSALIDADE</t>
  </si>
  <si>
    <r>
      <rPr>
        <b/>
        <sz val="11"/>
        <color rgb="FFFF0000"/>
        <rFont val="Aptos Narrow"/>
        <family val="2"/>
        <scheme val="minor"/>
      </rPr>
      <t>ATIVAÇÃO</t>
    </r>
    <r>
      <rPr>
        <b/>
        <sz val="11"/>
        <color theme="1"/>
        <rFont val="Aptos Narrow"/>
        <family val="2"/>
        <scheme val="minor"/>
      </rPr>
      <t xml:space="preserve"> ONLINE RASTREMENTO</t>
    </r>
  </si>
  <si>
    <r>
      <rPr>
        <b/>
        <sz val="11"/>
        <color rgb="FFFF0000"/>
        <rFont val="Aptos Narrow"/>
        <family val="2"/>
        <scheme val="minor"/>
      </rPr>
      <t>MENSALIDADE</t>
    </r>
    <r>
      <rPr>
        <b/>
        <sz val="11"/>
        <color theme="1"/>
        <rFont val="Aptos Narrow"/>
        <family val="2"/>
        <scheme val="minor"/>
      </rPr>
      <t xml:space="preserve"> ONLINE RASTREMENTO</t>
    </r>
  </si>
  <si>
    <t>REAL GLASS</t>
  </si>
  <si>
    <t>JGA TRANSPORTE</t>
  </si>
  <si>
    <t xml:space="preserve">ANA GARCIA </t>
  </si>
  <si>
    <t xml:space="preserve">VINICIUS - SÃO BERNARDO DO CAMPO </t>
  </si>
  <si>
    <t>ALVORADA - Steelmark AGS Goodyear</t>
  </si>
  <si>
    <t>ALVORADA - Cooper RHA Goodyear</t>
  </si>
  <si>
    <t>ALVORADA- Kmax Gen 2 - 1° LINHA Goodyear</t>
  </si>
  <si>
    <t>MINAS PNEUS- R269 149/146L BRIDGESTONE</t>
  </si>
  <si>
    <t xml:space="preserve"> 13/06/2026  FILTROS GERADOR           2PV</t>
  </si>
  <si>
    <t>VALOR UNT</t>
  </si>
  <si>
    <t>DELLAS- FIRESTONE</t>
  </si>
  <si>
    <t xml:space="preserve">DELLAS- DAYTON </t>
  </si>
  <si>
    <t>DELLAS- BRIDGESTONE</t>
  </si>
  <si>
    <t>14/08/2026 OLEO TERMICO</t>
  </si>
  <si>
    <t>OT 100 LUBRAX</t>
  </si>
  <si>
    <t>14/08/2026 PRODUTOS CBUQ</t>
  </si>
  <si>
    <t>PÓ DE PEDRA</t>
  </si>
  <si>
    <t>BRITA 3</t>
  </si>
  <si>
    <t>PEDRA DE MÃO</t>
  </si>
  <si>
    <t>VIBRA- ANTERIOR</t>
  </si>
  <si>
    <t>VIBRA -ATUAL</t>
  </si>
  <si>
    <t>14/08/2026             HIDRAULICOS MARCO</t>
  </si>
  <si>
    <t>AGROCITY/Curvelo</t>
  </si>
  <si>
    <t>BRITA 4 / MACADAME</t>
  </si>
  <si>
    <t>tubos 25mm solda</t>
  </si>
  <si>
    <t>tubo 20mm solda.</t>
  </si>
  <si>
    <t>juelhos 25x20 bucha latão</t>
  </si>
  <si>
    <t xml:space="preserve">te 25x20 bucha latão. </t>
  </si>
  <si>
    <t xml:space="preserve">juelhos 25mm solda </t>
  </si>
  <si>
    <t xml:space="preserve">frange 50 mm </t>
  </si>
  <si>
    <t xml:space="preserve"> franges 25mm</t>
  </si>
  <si>
    <t>registro de esfera pvc 50mm solda</t>
  </si>
  <si>
    <t>reducao 50x25 solda.</t>
  </si>
  <si>
    <t>teflom.</t>
  </si>
  <si>
    <t>vidro cola com pincel.</t>
  </si>
  <si>
    <t xml:space="preserve"> lixa 100</t>
  </si>
  <si>
    <t>caixa d'água 1000 litros</t>
  </si>
  <si>
    <t>registro gaveta com base deca 25mm.</t>
  </si>
  <si>
    <t>registro pressão com base deca 25mm.</t>
  </si>
  <si>
    <t>boia pra reforçada.</t>
  </si>
  <si>
    <t>juelhos 20mm bucha latão.</t>
  </si>
  <si>
    <t>juelhos 20mm.</t>
  </si>
  <si>
    <t>juelhos solda 20mm</t>
  </si>
  <si>
    <t>te 20mm solda.</t>
  </si>
  <si>
    <t xml:space="preserve"> juelhos 25mm solda.</t>
  </si>
  <si>
    <t>Esgoto</t>
  </si>
  <si>
    <t>vasos caixa acoplada.</t>
  </si>
  <si>
    <t>anel vedação decanel.</t>
  </si>
  <si>
    <t>tubo 40mm esgoto.</t>
  </si>
  <si>
    <t xml:space="preserve"> tanque 1 bojo reforcado maior</t>
  </si>
  <si>
    <t>disco makita porcelanato</t>
  </si>
  <si>
    <t>30 mts</t>
  </si>
  <si>
    <t>50 mts</t>
  </si>
  <si>
    <t>JK MATERIAIS</t>
  </si>
  <si>
    <t>joelhos 40 mm esg com anel.</t>
  </si>
  <si>
    <t>joelho 40 mm esg.</t>
  </si>
  <si>
    <t>mangueira 3x4.</t>
  </si>
  <si>
    <t>mangueira 1"</t>
  </si>
  <si>
    <t xml:space="preserve">Juntas niveladora  2mm </t>
  </si>
  <si>
    <t>cunhas</t>
  </si>
  <si>
    <t>caixinhas 2x4</t>
  </si>
  <si>
    <t>60mts</t>
  </si>
  <si>
    <t>ceramica</t>
  </si>
  <si>
    <t>piso banheiro</t>
  </si>
  <si>
    <t>6 mts</t>
  </si>
  <si>
    <t>AGROCITY/Caité</t>
  </si>
  <si>
    <t>BGS faixa B</t>
  </si>
  <si>
    <t>PADROMAX</t>
  </si>
  <si>
    <t>17/08/2026 PC 05 SEGUIMENTO</t>
  </si>
  <si>
    <t>SEG.CAT.966L CENTRAL 1.1/2 - BRT 450</t>
  </si>
  <si>
    <t>SEG.CAT.966L L.DIR.INT.1.1/2 ONE WAY - BRT 450</t>
  </si>
  <si>
    <t>SEG.CAT.966L L.ESQ.INT.1.1/2 ONE WAY - BRT 450</t>
  </si>
  <si>
    <t>SEG.CAT.966L L.DIR.EXT.1.1/2 ONE WAY - BRT 450</t>
  </si>
  <si>
    <t>SEG.CAT.966L L.ESQ.EXT.1.1/2 ONE WAY - BRT 450</t>
  </si>
  <si>
    <t>PORCA SEXTAVADA 1.1/4 - 12.9</t>
  </si>
  <si>
    <t>PARAFUSO LAMINA 1.1/4" X 3.3/4" - 12.9</t>
  </si>
  <si>
    <t>EXPESSURA</t>
  </si>
  <si>
    <t>38,10 mm</t>
  </si>
  <si>
    <t>17/08/2026 HAMZÃO</t>
  </si>
  <si>
    <t>INOVA</t>
  </si>
  <si>
    <t>DIFERENÇA</t>
  </si>
  <si>
    <t>2 PNEUS</t>
  </si>
  <si>
    <t>DCML ANTERIOR 07/07</t>
  </si>
  <si>
    <t>DCML ATUAL</t>
  </si>
  <si>
    <t>SPEED MAX - EASYMAX S 149/146 L 18LONAS</t>
  </si>
  <si>
    <t>MTRACTOR</t>
  </si>
  <si>
    <t>17/08/2026  PRANCHA</t>
  </si>
  <si>
    <t>SUPORTE MOTOR DIANTEIRO (COXIM)</t>
  </si>
  <si>
    <t>SUPORTE MOTOR TRASEIRO (COXIM)</t>
  </si>
  <si>
    <t>13/08/2026 PNEU COMBOIO 275/80 R22.5</t>
  </si>
  <si>
    <t xml:space="preserve">17/08/2026 DIESEL S10-G28 5.000L </t>
  </si>
  <si>
    <t>ATUAL 10.000L</t>
  </si>
  <si>
    <t>NÃO TEM CADASTRO</t>
  </si>
  <si>
    <t>Argamassa ACIII</t>
  </si>
  <si>
    <t>Rejunte</t>
  </si>
  <si>
    <t>12 a 18</t>
  </si>
  <si>
    <t>23 a  28</t>
  </si>
  <si>
    <t>04/08/2026 PORTAS DE ALUMINIO PRONTAS</t>
  </si>
  <si>
    <t>18/08/2026 OLEOS</t>
  </si>
  <si>
    <t xml:space="preserve">DELLAS </t>
  </si>
  <si>
    <t>DELLAS  10UNID</t>
  </si>
  <si>
    <t>18/08/2026 CONCRETO</t>
  </si>
  <si>
    <t>GERAMIX</t>
  </si>
  <si>
    <t>SOLO NOVO</t>
  </si>
  <si>
    <t>30MPA SLUMP 18+-3 BRITA 01 = 3.5 M3</t>
  </si>
  <si>
    <t>30MPA SLUMP 20+_2. BRITA 1 E 2 = 3.5 M3</t>
  </si>
  <si>
    <t>TOTAL 4 UNIDADES</t>
  </si>
  <si>
    <r>
      <t xml:space="preserve">TAMBASA - 215X75 </t>
    </r>
    <r>
      <rPr>
        <sz val="11"/>
        <color rgb="FFFF0000"/>
        <rFont val="Aptos Narrow"/>
        <family val="2"/>
        <scheme val="minor"/>
      </rPr>
      <t>(PORTA PRONTA SEM INSTALAÇÃO)</t>
    </r>
  </si>
  <si>
    <r>
      <t xml:space="preserve">PORTAS E JANELAS - 160X80 </t>
    </r>
    <r>
      <rPr>
        <sz val="11"/>
        <color rgb="FFFF0000"/>
        <rFont val="Aptos Narrow"/>
        <family val="2"/>
        <scheme val="minor"/>
      </rPr>
      <t>(PORTA PRONTA SEM INSTALAÇÃO)</t>
    </r>
  </si>
  <si>
    <r>
      <t xml:space="preserve">ALG ESQUADRIAS- 60X190 </t>
    </r>
    <r>
      <rPr>
        <sz val="11"/>
        <color rgb="FFFF0000"/>
        <rFont val="Aptos Narrow"/>
        <family val="2"/>
        <scheme val="minor"/>
      </rPr>
      <t>(MATERIAL - MÃO DE OBRA SOB MEDIDA)</t>
    </r>
  </si>
  <si>
    <r>
      <t xml:space="preserve">DAVIDSON- 60X190 </t>
    </r>
    <r>
      <rPr>
        <sz val="11"/>
        <color rgb="FFFF0000"/>
        <rFont val="Aptos Narrow"/>
        <family val="2"/>
        <scheme val="minor"/>
      </rPr>
      <t>(MATERIAL - MÃO DE OBRA SOB MEDIDA)</t>
    </r>
  </si>
  <si>
    <r>
      <t xml:space="preserve">D&amp;S ESQUADRIAS - </t>
    </r>
    <r>
      <rPr>
        <sz val="11"/>
        <color rgb="FFFF0000"/>
        <rFont val="Aptos Narrow"/>
        <family val="2"/>
        <scheme val="minor"/>
      </rPr>
      <t xml:space="preserve"> MATERIAL </t>
    </r>
  </si>
  <si>
    <r>
      <t xml:space="preserve">ALUMARC - </t>
    </r>
    <r>
      <rPr>
        <sz val="11"/>
        <color rgb="FFFF0000"/>
        <rFont val="Aptos Narrow"/>
        <family val="2"/>
        <scheme val="minor"/>
      </rPr>
      <t xml:space="preserve">MATERIAL </t>
    </r>
  </si>
  <si>
    <t>19/09/2026 PRANCHA</t>
  </si>
  <si>
    <t>COXIM TRASEIRO</t>
  </si>
  <si>
    <t>COXIM DIANTEIRO</t>
  </si>
  <si>
    <t>IVECO DEVA</t>
  </si>
  <si>
    <t>21/08/2026 ESCAVADEIRA HIDRAULICA EH02</t>
  </si>
  <si>
    <t>20/08/2026 PRANCHA</t>
  </si>
  <si>
    <t>GRAMPO SUSPENSAOR  85CM</t>
  </si>
  <si>
    <t>19/08/2026 PATROL</t>
  </si>
  <si>
    <t>PLUG MACHO E FEMEA</t>
  </si>
  <si>
    <t>CHICOTES</t>
  </si>
  <si>
    <t>VIATRUCK</t>
  </si>
  <si>
    <t>LUVA</t>
  </si>
  <si>
    <t>TRAVA DA UNHA DA CONCHA (FIXADOR)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</si>
</sst>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;@"/>
    <numFmt numFmtId="165" formatCode="_-[$R$-416]\ * #,##0.00_-;\-[$R$-416]\ * #,##0.00_-;_-[$R$-416]\ * &quot;-&quot;??_-;_-@_-"/>
    <numFmt numFmtId="166" formatCode="d/m/yy;@"/>
  </numFmts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.5"/>
      <name val="Arial MT"/>
    </font>
    <font>
      <sz val="10.5"/>
      <name val="Arial MT"/>
      <family val="2"/>
    </font>
    <font>
      <sz val="10.5"/>
      <name val="Calibri"/>
      <family val="2"/>
    </font>
    <font>
      <b/>
      <sz val="11"/>
      <color theme="1"/>
      <name val="Calibri"/>
      <family val="2"/>
    </font>
    <font>
      <b/>
      <sz val="10.5"/>
      <name val="Calibri"/>
      <family val="2"/>
    </font>
    <font>
      <b/>
      <sz val="10.5"/>
      <color rgb="FF0F0F0F"/>
      <name val="Calibri"/>
      <family val="2"/>
    </font>
    <font>
      <b/>
      <sz val="10.5"/>
      <color rgb="FF080808"/>
      <name val="Calibri"/>
      <family val="2"/>
    </font>
    <font>
      <b/>
      <sz val="10.5"/>
      <color rgb="FF0C0C0C"/>
      <name val="Calibri"/>
      <family val="2"/>
    </font>
    <font>
      <b/>
      <sz val="10.5"/>
      <color rgb="FF212121"/>
      <name val="Calibri"/>
      <family val="2"/>
    </font>
    <font>
      <b/>
      <sz val="10.5"/>
      <color rgb="FF262626"/>
      <name val="Calibri"/>
      <family val="2"/>
    </font>
    <font>
      <b/>
      <sz val="10.5"/>
      <color rgb="FF1A1A1A"/>
      <name val="Calibri"/>
      <family val="2"/>
    </font>
    <font>
      <b/>
      <sz val="10.5"/>
      <color rgb="FF161616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2"/>
      <name val="Calibri"/>
      <family val="2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1F1F1F"/>
      <name val="Arial"/>
      <family val="2"/>
    </font>
    <font>
      <sz val="9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Tahoma"/>
      <family val="2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EE0000"/>
      <name val="Aptos"/>
      <family val="2"/>
    </font>
    <font>
      <sz val="12"/>
      <color theme="1"/>
      <name val="Aptos"/>
      <family val="2"/>
    </font>
    <font>
      <sz val="11"/>
      <color rgb="FFEE0000"/>
      <name val="Aptos"/>
      <family val="2"/>
    </font>
    <font>
      <sz val="11"/>
      <color theme="1"/>
      <name val="Aptos"/>
      <family val="2"/>
    </font>
    <font>
      <sz val="12"/>
      <name val="Aptos"/>
      <family val="2"/>
    </font>
    <font>
      <b/>
      <sz val="11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b/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4F91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17" fillId="0" borderId="0" applyNumberFormat="0" applyFill="0" applyBorder="0" applyAlignment="0" applyProtection="0"/>
    <xf numFmtId="0" fontId="28" fillId="0" borderId="0"/>
  </cellStyleXfs>
  <cellXfs count="988">
    <xf numFmtId="0" fontId="0" fillId="0" borderId="0" xfId="0"/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0" fillId="0" borderId="0" xfId="1" applyNumberFormat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0" fontId="0" fillId="3" borderId="5" xfId="0" applyFill="1" applyBorder="1"/>
    <xf numFmtId="0" fontId="2" fillId="7" borderId="13" xfId="0" applyFont="1" applyFill="1" applyBorder="1" applyAlignment="1">
      <alignment horizontal="center"/>
    </xf>
    <xf numFmtId="0" fontId="0" fillId="8" borderId="5" xfId="0" applyFill="1" applyBorder="1"/>
    <xf numFmtId="0" fontId="2" fillId="9" borderId="13" xfId="0" applyFont="1" applyFill="1" applyBorder="1"/>
    <xf numFmtId="0" fontId="2" fillId="10" borderId="9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1" xfId="0" applyBorder="1"/>
    <xf numFmtId="14" fontId="2" fillId="0" borderId="7" xfId="0" applyNumberFormat="1" applyFont="1" applyBorder="1" applyAlignment="1">
      <alignment horizontal="left"/>
    </xf>
    <xf numFmtId="14" fontId="0" fillId="3" borderId="5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44" fontId="0" fillId="0" borderId="5" xfId="1" applyFont="1" applyBorder="1"/>
    <xf numFmtId="0" fontId="2" fillId="11" borderId="16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44" fontId="0" fillId="0" borderId="20" xfId="1" applyFont="1" applyBorder="1"/>
    <xf numFmtId="0" fontId="2" fillId="11" borderId="21" xfId="0" applyFont="1" applyFill="1" applyBorder="1" applyAlignment="1">
      <alignment horizontal="center"/>
    </xf>
    <xf numFmtId="44" fontId="0" fillId="0" borderId="23" xfId="1" applyFont="1" applyBorder="1"/>
    <xf numFmtId="44" fontId="1" fillId="0" borderId="22" xfId="1" applyFont="1" applyFill="1" applyBorder="1" applyAlignment="1">
      <alignment horizontal="center"/>
    </xf>
    <xf numFmtId="0" fontId="0" fillId="0" borderId="20" xfId="0" applyBorder="1"/>
    <xf numFmtId="0" fontId="0" fillId="0" borderId="23" xfId="0" applyBorder="1"/>
    <xf numFmtId="44" fontId="0" fillId="0" borderId="22" xfId="1" applyFont="1" applyBorder="1"/>
    <xf numFmtId="0" fontId="2" fillId="11" borderId="24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0" fillId="0" borderId="22" xfId="0" applyBorder="1"/>
    <xf numFmtId="0" fontId="2" fillId="11" borderId="0" xfId="0" applyFont="1" applyFill="1" applyAlignment="1">
      <alignment horizontal="center"/>
    </xf>
    <xf numFmtId="0" fontId="0" fillId="12" borderId="0" xfId="0" applyFill="1"/>
    <xf numFmtId="44" fontId="0" fillId="0" borderId="0" xfId="1" applyFont="1" applyFill="1" applyBorder="1"/>
    <xf numFmtId="44" fontId="0" fillId="0" borderId="0" xfId="1" applyFont="1"/>
    <xf numFmtId="0" fontId="5" fillId="0" borderId="0" xfId="2" applyFont="1" applyAlignment="1">
      <alignment horizontal="left" vertical="top" wrapText="1"/>
    </xf>
    <xf numFmtId="0" fontId="5" fillId="0" borderId="0" xfId="2" applyFont="1" applyAlignment="1">
      <alignment horizontal="left" vertical="top" wrapText="1" indent="3"/>
    </xf>
    <xf numFmtId="0" fontId="5" fillId="0" borderId="0" xfId="2" applyFont="1" applyAlignment="1">
      <alignment vertical="top" wrapText="1"/>
    </xf>
    <xf numFmtId="0" fontId="6" fillId="0" borderId="0" xfId="2" applyFont="1" applyAlignment="1">
      <alignment vertical="top" wrapText="1"/>
    </xf>
    <xf numFmtId="0" fontId="0" fillId="4" borderId="5" xfId="0" applyFill="1" applyBorder="1"/>
    <xf numFmtId="44" fontId="0" fillId="4" borderId="5" xfId="1" applyFont="1" applyFill="1" applyBorder="1"/>
    <xf numFmtId="0" fontId="0" fillId="4" borderId="20" xfId="0" applyFill="1" applyBorder="1"/>
    <xf numFmtId="44" fontId="0" fillId="4" borderId="0" xfId="1" applyFont="1" applyFill="1"/>
    <xf numFmtId="44" fontId="2" fillId="11" borderId="0" xfId="1" applyFont="1" applyFill="1"/>
    <xf numFmtId="44" fontId="0" fillId="13" borderId="0" xfId="1" applyFont="1" applyFill="1"/>
    <xf numFmtId="44" fontId="0" fillId="13" borderId="0" xfId="1" applyFont="1" applyFill="1" applyBorder="1"/>
    <xf numFmtId="0" fontId="7" fillId="0" borderId="7" xfId="2" applyFont="1" applyBorder="1" applyAlignment="1">
      <alignment vertical="top" wrapText="1"/>
    </xf>
    <xf numFmtId="0" fontId="0" fillId="0" borderId="27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0" xfId="2" applyFont="1" applyAlignment="1">
      <alignment vertical="top" wrapText="1"/>
    </xf>
    <xf numFmtId="0" fontId="0" fillId="0" borderId="27" xfId="0" applyBorder="1"/>
    <xf numFmtId="0" fontId="8" fillId="0" borderId="5" xfId="0" applyFont="1" applyBorder="1"/>
    <xf numFmtId="0" fontId="9" fillId="0" borderId="5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0" fillId="14" borderId="0" xfId="0" applyFill="1"/>
    <xf numFmtId="0" fontId="0" fillId="14" borderId="0" xfId="0" applyFill="1" applyAlignment="1">
      <alignment horizontal="center"/>
    </xf>
    <xf numFmtId="0" fontId="2" fillId="0" borderId="5" xfId="3" applyFont="1" applyBorder="1"/>
    <xf numFmtId="0" fontId="2" fillId="0" borderId="0" xfId="0" applyFont="1" applyAlignment="1">
      <alignment horizontal="center"/>
    </xf>
    <xf numFmtId="0" fontId="7" fillId="0" borderId="29" xfId="2" applyFont="1" applyBorder="1" applyAlignment="1">
      <alignment vertical="top" wrapText="1"/>
    </xf>
    <xf numFmtId="0" fontId="0" fillId="0" borderId="2" xfId="0" applyBorder="1"/>
    <xf numFmtId="0" fontId="0" fillId="0" borderId="31" xfId="0" applyBorder="1"/>
    <xf numFmtId="44" fontId="5" fillId="0" borderId="3" xfId="1" applyFont="1" applyBorder="1" applyAlignment="1">
      <alignment vertical="top" wrapText="1"/>
    </xf>
    <xf numFmtId="44" fontId="5" fillId="0" borderId="32" xfId="1" applyFont="1" applyBorder="1" applyAlignment="1">
      <alignment vertical="top" wrapText="1"/>
    </xf>
    <xf numFmtId="0" fontId="2" fillId="6" borderId="15" xfId="0" applyFont="1" applyFill="1" applyBorder="1"/>
    <xf numFmtId="0" fontId="2" fillId="0" borderId="14" xfId="0" applyFont="1" applyBorder="1"/>
    <xf numFmtId="0" fontId="2" fillId="0" borderId="9" xfId="0" applyFont="1" applyBorder="1"/>
    <xf numFmtId="0" fontId="0" fillId="14" borderId="5" xfId="0" applyFill="1" applyBorder="1"/>
    <xf numFmtId="0" fontId="0" fillId="9" borderId="0" xfId="0" applyFill="1"/>
    <xf numFmtId="14" fontId="2" fillId="0" borderId="0" xfId="0" applyNumberFormat="1" applyFont="1" applyAlignment="1">
      <alignment horizontal="left"/>
    </xf>
    <xf numFmtId="0" fontId="2" fillId="0" borderId="5" xfId="0" applyFont="1" applyBorder="1"/>
    <xf numFmtId="0" fontId="17" fillId="0" borderId="0" xfId="3"/>
    <xf numFmtId="14" fontId="0" fillId="0" borderId="0" xfId="0" applyNumberFormat="1"/>
    <xf numFmtId="0" fontId="2" fillId="0" borderId="27" xfId="0" applyFont="1" applyBorder="1"/>
    <xf numFmtId="0" fontId="2" fillId="0" borderId="10" xfId="0" applyFont="1" applyBorder="1"/>
    <xf numFmtId="0" fontId="0" fillId="15" borderId="0" xfId="0" applyFill="1" applyAlignment="1">
      <alignment horizontal="center"/>
    </xf>
    <xf numFmtId="0" fontId="0" fillId="14" borderId="5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4" fontId="0" fillId="15" borderId="0" xfId="0" applyNumberFormat="1" applyFill="1"/>
    <xf numFmtId="44" fontId="0" fillId="15" borderId="0" xfId="1" applyFont="1" applyFill="1"/>
    <xf numFmtId="0" fontId="0" fillId="13" borderId="0" xfId="0" applyFill="1"/>
    <xf numFmtId="0" fontId="0" fillId="7" borderId="5" xfId="0" applyFill="1" applyBorder="1"/>
    <xf numFmtId="0" fontId="0" fillId="0" borderId="5" xfId="0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16" borderId="5" xfId="0" applyFont="1" applyFill="1" applyBorder="1"/>
    <xf numFmtId="0" fontId="0" fillId="16" borderId="5" xfId="0" applyFill="1" applyBorder="1" applyAlignment="1">
      <alignment horizontal="center"/>
    </xf>
    <xf numFmtId="0" fontId="0" fillId="17" borderId="0" xfId="0" applyFill="1"/>
    <xf numFmtId="0" fontId="2" fillId="14" borderId="5" xfId="0" applyFont="1" applyFill="1" applyBorder="1" applyAlignment="1">
      <alignment horizontal="center" vertical="center"/>
    </xf>
    <xf numFmtId="44" fontId="0" fillId="16" borderId="5" xfId="0" applyNumberFormat="1" applyFill="1" applyBorder="1"/>
    <xf numFmtId="0" fontId="2" fillId="15" borderId="0" xfId="0" applyFont="1" applyFill="1" applyAlignment="1">
      <alignment horizontal="center"/>
    </xf>
    <xf numFmtId="0" fontId="8" fillId="14" borderId="5" xfId="0" applyFont="1" applyFill="1" applyBorder="1" applyAlignment="1">
      <alignment horizontal="center" vertical="center" wrapText="1"/>
    </xf>
    <xf numFmtId="0" fontId="21" fillId="14" borderId="5" xfId="2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0" fillId="0" borderId="25" xfId="0" applyBorder="1"/>
    <xf numFmtId="0" fontId="20" fillId="0" borderId="25" xfId="2" applyFont="1" applyBorder="1" applyAlignment="1">
      <alignment vertical="top" wrapText="1"/>
    </xf>
    <xf numFmtId="44" fontId="0" fillId="0" borderId="5" xfId="1" applyFont="1" applyFill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5" xfId="1" applyFont="1" applyFill="1" applyBorder="1"/>
    <xf numFmtId="0" fontId="2" fillId="0" borderId="0" xfId="0" applyFont="1"/>
    <xf numFmtId="44" fontId="0" fillId="0" borderId="0" xfId="1" applyFont="1" applyBorder="1"/>
    <xf numFmtId="0" fontId="19" fillId="0" borderId="0" xfId="0" applyFont="1" applyAlignment="1">
      <alignment wrapText="1"/>
    </xf>
    <xf numFmtId="0" fontId="2" fillId="14" borderId="5" xfId="0" applyFont="1" applyFill="1" applyBorder="1" applyAlignment="1">
      <alignment horizontal="right"/>
    </xf>
    <xf numFmtId="44" fontId="0" fillId="16" borderId="5" xfId="1" applyFont="1" applyFill="1" applyBorder="1"/>
    <xf numFmtId="0" fontId="23" fillId="5" borderId="0" xfId="0" applyFont="1" applyFill="1"/>
    <xf numFmtId="0" fontId="0" fillId="3" borderId="5" xfId="0" applyFill="1" applyBorder="1" applyAlignment="1">
      <alignment horizontal="center"/>
    </xf>
    <xf numFmtId="0" fontId="2" fillId="12" borderId="19" xfId="0" applyFont="1" applyFill="1" applyBorder="1"/>
    <xf numFmtId="0" fontId="2" fillId="12" borderId="5" xfId="0" applyFont="1" applyFill="1" applyBorder="1"/>
    <xf numFmtId="0" fontId="2" fillId="12" borderId="20" xfId="0" applyFont="1" applyFill="1" applyBorder="1"/>
    <xf numFmtId="0" fontId="0" fillId="0" borderId="19" xfId="0" applyBorder="1"/>
    <xf numFmtId="4" fontId="0" fillId="0" borderId="5" xfId="0" applyNumberFormat="1" applyBorder="1"/>
    <xf numFmtId="0" fontId="2" fillId="12" borderId="39" xfId="0" applyFont="1" applyFill="1" applyBorder="1"/>
    <xf numFmtId="4" fontId="2" fillId="12" borderId="0" xfId="0" applyNumberFormat="1" applyFont="1" applyFill="1"/>
    <xf numFmtId="0" fontId="2" fillId="12" borderId="0" xfId="0" applyFont="1" applyFill="1"/>
    <xf numFmtId="44" fontId="2" fillId="12" borderId="40" xfId="0" applyNumberFormat="1" applyFont="1" applyFill="1" applyBorder="1"/>
    <xf numFmtId="0" fontId="0" fillId="0" borderId="39" xfId="0" applyBorder="1"/>
    <xf numFmtId="0" fontId="0" fillId="0" borderId="40" xfId="0" applyBorder="1"/>
    <xf numFmtId="0" fontId="0" fillId="0" borderId="30" xfId="0" applyBorder="1"/>
    <xf numFmtId="0" fontId="0" fillId="0" borderId="32" xfId="0" applyBorder="1"/>
    <xf numFmtId="0" fontId="2" fillId="18" borderId="42" xfId="0" applyFont="1" applyFill="1" applyBorder="1" applyAlignment="1">
      <alignment horizontal="center"/>
    </xf>
    <xf numFmtId="0" fontId="2" fillId="18" borderId="43" xfId="0" applyFont="1" applyFill="1" applyBorder="1" applyAlignment="1">
      <alignment horizontal="center"/>
    </xf>
    <xf numFmtId="0" fontId="2" fillId="18" borderId="44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0" fontId="0" fillId="19" borderId="0" xfId="0" applyFill="1"/>
    <xf numFmtId="0" fontId="3" fillId="0" borderId="41" xfId="0" applyFont="1" applyBorder="1"/>
    <xf numFmtId="0" fontId="2" fillId="18" borderId="11" xfId="0" applyFont="1" applyFill="1" applyBorder="1" applyAlignment="1">
      <alignment horizontal="center"/>
    </xf>
    <xf numFmtId="0" fontId="2" fillId="18" borderId="45" xfId="0" applyFont="1" applyFill="1" applyBorder="1" applyAlignment="1">
      <alignment horizontal="center"/>
    </xf>
    <xf numFmtId="0" fontId="2" fillId="14" borderId="15" xfId="0" applyFont="1" applyFill="1" applyBorder="1"/>
    <xf numFmtId="0" fontId="2" fillId="14" borderId="9" xfId="0" applyFont="1" applyFill="1" applyBorder="1"/>
    <xf numFmtId="0" fontId="2" fillId="14" borderId="15" xfId="0" applyFont="1" applyFill="1" applyBorder="1" applyAlignment="1">
      <alignment horizontal="center"/>
    </xf>
    <xf numFmtId="0" fontId="2" fillId="14" borderId="14" xfId="0" applyFont="1" applyFill="1" applyBorder="1"/>
    <xf numFmtId="0" fontId="2" fillId="18" borderId="18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0" xfId="0" applyNumberFormat="1"/>
    <xf numFmtId="164" fontId="0" fillId="0" borderId="39" xfId="0" applyNumberFormat="1" applyBorder="1" applyAlignment="1">
      <alignment horizontal="center"/>
    </xf>
    <xf numFmtId="44" fontId="0" fillId="0" borderId="40" xfId="1" applyFont="1" applyBorder="1"/>
    <xf numFmtId="164" fontId="0" fillId="14" borderId="30" xfId="0" applyNumberFormat="1" applyFill="1" applyBorder="1" applyAlignment="1">
      <alignment horizontal="center"/>
    </xf>
    <xf numFmtId="44" fontId="0" fillId="14" borderId="32" xfId="1" applyFont="1" applyFill="1" applyBorder="1"/>
    <xf numFmtId="44" fontId="0" fillId="14" borderId="32" xfId="0" applyNumberFormat="1" applyFill="1" applyBorder="1"/>
    <xf numFmtId="164" fontId="0" fillId="0" borderId="30" xfId="0" applyNumberFormat="1" applyBorder="1" applyAlignment="1">
      <alignment horizontal="center"/>
    </xf>
    <xf numFmtId="0" fontId="25" fillId="0" borderId="0" xfId="0" applyFont="1"/>
    <xf numFmtId="164" fontId="25" fillId="0" borderId="0" xfId="0" applyNumberFormat="1" applyFont="1"/>
    <xf numFmtId="0" fontId="26" fillId="0" borderId="0" xfId="0" applyFont="1" applyAlignment="1">
      <alignment horizontal="left" vertical="center" wrapText="1"/>
    </xf>
    <xf numFmtId="0" fontId="27" fillId="0" borderId="0" xfId="0" applyFont="1"/>
    <xf numFmtId="0" fontId="0" fillId="20" borderId="0" xfId="0" applyFill="1"/>
    <xf numFmtId="0" fontId="2" fillId="14" borderId="14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14" fontId="2" fillId="14" borderId="7" xfId="0" applyNumberFormat="1" applyFont="1" applyFill="1" applyBorder="1" applyAlignment="1">
      <alignment horizontal="left"/>
    </xf>
    <xf numFmtId="0" fontId="2" fillId="14" borderId="28" xfId="0" applyFont="1" applyFill="1" applyBorder="1"/>
    <xf numFmtId="0" fontId="2" fillId="14" borderId="10" xfId="0" applyFont="1" applyFill="1" applyBorder="1"/>
    <xf numFmtId="0" fontId="2" fillId="14" borderId="7" xfId="0" applyFont="1" applyFill="1" applyBorder="1" applyAlignment="1">
      <alignment horizontal="right"/>
    </xf>
    <xf numFmtId="44" fontId="0" fillId="0" borderId="15" xfId="0" applyNumberFormat="1" applyBorder="1"/>
    <xf numFmtId="44" fontId="0" fillId="0" borderId="14" xfId="0" applyNumberFormat="1" applyBorder="1"/>
    <xf numFmtId="44" fontId="0" fillId="0" borderId="9" xfId="0" applyNumberFormat="1" applyBorder="1"/>
    <xf numFmtId="0" fontId="2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4" fontId="0" fillId="0" borderId="40" xfId="1" applyFont="1" applyFill="1" applyBorder="1"/>
    <xf numFmtId="164" fontId="0" fillId="0" borderId="39" xfId="0" applyNumberFormat="1" applyBorder="1"/>
    <xf numFmtId="0" fontId="0" fillId="4" borderId="0" xfId="0" applyFill="1"/>
    <xf numFmtId="0" fontId="2" fillId="14" borderId="7" xfId="0" applyFont="1" applyFill="1" applyBorder="1"/>
    <xf numFmtId="0" fontId="0" fillId="21" borderId="15" xfId="0" applyFill="1" applyBorder="1"/>
    <xf numFmtId="0" fontId="0" fillId="21" borderId="9" xfId="0" applyFill="1" applyBorder="1"/>
    <xf numFmtId="0" fontId="2" fillId="14" borderId="0" xfId="0" applyFont="1" applyFill="1"/>
    <xf numFmtId="14" fontId="24" fillId="14" borderId="0" xfId="0" applyNumberFormat="1" applyFont="1" applyFill="1"/>
    <xf numFmtId="0" fontId="2" fillId="14" borderId="0" xfId="0" applyFont="1" applyFill="1" applyAlignment="1">
      <alignment horizontal="center"/>
    </xf>
    <xf numFmtId="14" fontId="2" fillId="14" borderId="0" xfId="0" applyNumberFormat="1" applyFont="1" applyFill="1"/>
    <xf numFmtId="16" fontId="2" fillId="14" borderId="0" xfId="0" applyNumberFormat="1" applyFont="1" applyFill="1"/>
    <xf numFmtId="0" fontId="2" fillId="14" borderId="1" xfId="0" applyFont="1" applyFill="1" applyBorder="1"/>
    <xf numFmtId="0" fontId="2" fillId="14" borderId="30" xfId="0" applyFont="1" applyFill="1" applyBorder="1"/>
    <xf numFmtId="0" fontId="0" fillId="14" borderId="0" xfId="0" applyFill="1" applyAlignment="1">
      <alignment horizontal="right"/>
    </xf>
    <xf numFmtId="44" fontId="0" fillId="14" borderId="0" xfId="0" applyNumberFormat="1" applyFill="1"/>
    <xf numFmtId="0" fontId="2" fillId="11" borderId="0" xfId="0" applyFont="1" applyFill="1"/>
    <xf numFmtId="0" fontId="2" fillId="11" borderId="7" xfId="0" applyFont="1" applyFill="1" applyBorder="1"/>
    <xf numFmtId="0" fontId="2" fillId="11" borderId="7" xfId="0" applyFont="1" applyFill="1" applyBorder="1" applyAlignment="1">
      <alignment horizontal="right"/>
    </xf>
    <xf numFmtId="0" fontId="21" fillId="11" borderId="0" xfId="4" applyFont="1" applyFill="1" applyAlignment="1">
      <alignment horizontal="left" vertical="top"/>
    </xf>
    <xf numFmtId="0" fontId="21" fillId="11" borderId="7" xfId="4" applyFont="1" applyFill="1" applyBorder="1" applyAlignment="1">
      <alignment horizontal="right" vertical="top"/>
    </xf>
    <xf numFmtId="44" fontId="0" fillId="6" borderId="0" xfId="1" applyFont="1" applyFill="1"/>
    <xf numFmtId="44" fontId="2" fillId="22" borderId="0" xfId="1" applyFont="1" applyFill="1"/>
    <xf numFmtId="44" fontId="1" fillId="0" borderId="0" xfId="1" applyFont="1" applyFill="1" applyBorder="1" applyAlignment="1">
      <alignment horizontal="center"/>
    </xf>
    <xf numFmtId="44" fontId="0" fillId="0" borderId="0" xfId="1" applyFont="1" applyFill="1"/>
    <xf numFmtId="0" fontId="21" fillId="9" borderId="0" xfId="4" applyFont="1" applyFill="1" applyAlignment="1">
      <alignment horizontal="left" vertical="top"/>
    </xf>
    <xf numFmtId="0" fontId="2" fillId="14" borderId="7" xfId="0" applyFont="1" applyFill="1" applyBorder="1" applyAlignment="1">
      <alignment horizontal="center"/>
    </xf>
    <xf numFmtId="0" fontId="0" fillId="14" borderId="14" xfId="0" applyFill="1" applyBorder="1"/>
    <xf numFmtId="0" fontId="0" fillId="14" borderId="9" xfId="0" applyFill="1" applyBorder="1"/>
    <xf numFmtId="44" fontId="2" fillId="14" borderId="0" xfId="1" applyFont="1" applyFill="1"/>
    <xf numFmtId="0" fontId="21" fillId="14" borderId="0" xfId="4" applyFont="1" applyFill="1" applyAlignment="1">
      <alignment horizontal="left" vertical="top"/>
    </xf>
    <xf numFmtId="0" fontId="0" fillId="14" borderId="7" xfId="0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44" fontId="0" fillId="0" borderId="31" xfId="1" applyFont="1" applyBorder="1"/>
    <xf numFmtId="44" fontId="0" fillId="0" borderId="32" xfId="1" applyFont="1" applyBorder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44" fontId="0" fillId="9" borderId="0" xfId="1" applyFont="1" applyFill="1" applyAlignment="1">
      <alignment horizontal="center"/>
    </xf>
    <xf numFmtId="44" fontId="0" fillId="0" borderId="0" xfId="0" applyNumberFormat="1"/>
    <xf numFmtId="0" fontId="0" fillId="14" borderId="30" xfId="0" applyFill="1" applyBorder="1"/>
    <xf numFmtId="14" fontId="2" fillId="0" borderId="0" xfId="0" applyNumberFormat="1" applyFont="1" applyAlignment="1">
      <alignment horizontal="center"/>
    </xf>
    <xf numFmtId="0" fontId="2" fillId="14" borderId="5" xfId="0" applyFont="1" applyFill="1" applyBorder="1"/>
    <xf numFmtId="44" fontId="0" fillId="0" borderId="5" xfId="0" applyNumberFormat="1" applyBorder="1"/>
    <xf numFmtId="165" fontId="2" fillId="0" borderId="0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 applyFill="1" applyBorder="1" applyAlignment="1">
      <alignment horizontal="center"/>
    </xf>
    <xf numFmtId="44" fontId="0" fillId="23" borderId="0" xfId="1" applyFont="1" applyFill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/>
    </xf>
    <xf numFmtId="0" fontId="2" fillId="14" borderId="30" xfId="0" applyFont="1" applyFill="1" applyBorder="1" applyAlignment="1">
      <alignment horizontal="center"/>
    </xf>
    <xf numFmtId="44" fontId="0" fillId="0" borderId="31" xfId="1" applyFont="1" applyBorder="1" applyAlignment="1">
      <alignment horizontal="center"/>
    </xf>
    <xf numFmtId="0" fontId="0" fillId="14" borderId="15" xfId="0" applyFill="1" applyBorder="1"/>
    <xf numFmtId="0" fontId="23" fillId="0" borderId="0" xfId="2" applyFont="1" applyAlignment="1">
      <alignment horizontal="center" vertical="top" wrapText="1"/>
    </xf>
    <xf numFmtId="44" fontId="1" fillId="0" borderId="0" xfId="1" applyFont="1" applyFill="1" applyBorder="1"/>
    <xf numFmtId="0" fontId="2" fillId="11" borderId="49" xfId="0" applyFont="1" applyFill="1" applyBorder="1"/>
    <xf numFmtId="0" fontId="2" fillId="11" borderId="41" xfId="0" applyFont="1" applyFill="1" applyBorder="1"/>
    <xf numFmtId="0" fontId="2" fillId="11" borderId="50" xfId="0" applyFont="1" applyFill="1" applyBorder="1"/>
    <xf numFmtId="0" fontId="0" fillId="0" borderId="0" xfId="0" applyAlignment="1">
      <alignment vertical="center" wrapText="1"/>
    </xf>
    <xf numFmtId="0" fontId="2" fillId="24" borderId="28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center"/>
    </xf>
    <xf numFmtId="0" fontId="2" fillId="24" borderId="7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0" fillId="0" borderId="0" xfId="0" applyFont="1"/>
    <xf numFmtId="0" fontId="2" fillId="14" borderId="39" xfId="0" applyFont="1" applyFill="1" applyBorder="1" applyAlignment="1">
      <alignment horizontal="left"/>
    </xf>
    <xf numFmtId="0" fontId="0" fillId="0" borderId="7" xfId="0" applyBorder="1" applyAlignment="1">
      <alignment horizontal="right"/>
    </xf>
    <xf numFmtId="0" fontId="2" fillId="11" borderId="7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0" fillId="11" borderId="28" xfId="0" applyFill="1" applyBorder="1"/>
    <xf numFmtId="0" fontId="0" fillId="11" borderId="10" xfId="0" applyFill="1" applyBorder="1"/>
    <xf numFmtId="44" fontId="0" fillId="14" borderId="0" xfId="1" applyFont="1" applyFill="1"/>
    <xf numFmtId="0" fontId="2" fillId="14" borderId="15" xfId="0" applyFont="1" applyFill="1" applyBorder="1" applyAlignment="1">
      <alignment horizontal="left"/>
    </xf>
    <xf numFmtId="0" fontId="0" fillId="11" borderId="0" xfId="0" applyFill="1"/>
    <xf numFmtId="0" fontId="0" fillId="23" borderId="0" xfId="0" applyFill="1" applyAlignment="1">
      <alignment horizontal="right"/>
    </xf>
    <xf numFmtId="0" fontId="2" fillId="11" borderId="28" xfId="0" applyFont="1" applyFill="1" applyBorder="1" applyAlignment="1">
      <alignment horizontal="center"/>
    </xf>
    <xf numFmtId="1" fontId="0" fillId="0" borderId="0" xfId="0" applyNumberFormat="1"/>
    <xf numFmtId="0" fontId="2" fillId="5" borderId="0" xfId="0" applyFont="1" applyFill="1"/>
    <xf numFmtId="0" fontId="0" fillId="6" borderId="0" xfId="0" applyFill="1"/>
    <xf numFmtId="0" fontId="0" fillId="14" borderId="7" xfId="0" applyFill="1" applyBorder="1"/>
    <xf numFmtId="164" fontId="2" fillId="0" borderId="15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4" borderId="27" xfId="0" applyFont="1" applyFill="1" applyBorder="1"/>
    <xf numFmtId="0" fontId="0" fillId="0" borderId="28" xfId="0" applyBorder="1" applyAlignment="1">
      <alignment horizontal="center"/>
    </xf>
    <xf numFmtId="0" fontId="2" fillId="12" borderId="7" xfId="0" applyFont="1" applyFill="1" applyBorder="1"/>
    <xf numFmtId="0" fontId="2" fillId="12" borderId="14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26" borderId="7" xfId="0" applyFont="1" applyFill="1" applyBorder="1" applyAlignment="1">
      <alignment horizontal="right"/>
    </xf>
    <xf numFmtId="44" fontId="2" fillId="26" borderId="0" xfId="0" applyNumberFormat="1" applyFont="1" applyFill="1"/>
    <xf numFmtId="44" fontId="2" fillId="0" borderId="0" xfId="0" applyNumberFormat="1" applyFont="1"/>
    <xf numFmtId="0" fontId="0" fillId="0" borderId="0" xfId="0" applyAlignment="1">
      <alignment horizontal="right"/>
    </xf>
    <xf numFmtId="44" fontId="0" fillId="5" borderId="0" xfId="1" applyFont="1" applyFill="1"/>
    <xf numFmtId="0" fontId="2" fillId="0" borderId="0" xfId="0" applyFont="1" applyAlignment="1">
      <alignment horizontal="right"/>
    </xf>
    <xf numFmtId="44" fontId="2" fillId="0" borderId="0" xfId="1" applyFont="1"/>
    <xf numFmtId="44" fontId="2" fillId="0" borderId="0" xfId="1" applyFont="1" applyFill="1" applyBorder="1"/>
    <xf numFmtId="0" fontId="23" fillId="0" borderId="0" xfId="2" applyFont="1" applyAlignment="1">
      <alignment horizontal="center" wrapText="1"/>
    </xf>
    <xf numFmtId="44" fontId="0" fillId="26" borderId="5" xfId="1" applyFont="1" applyFill="1" applyBorder="1"/>
    <xf numFmtId="44" fontId="2" fillId="26" borderId="5" xfId="1" applyFont="1" applyFill="1" applyBorder="1"/>
    <xf numFmtId="44" fontId="2" fillId="27" borderId="0" xfId="1" applyFont="1" applyFill="1" applyBorder="1"/>
    <xf numFmtId="0" fontId="2" fillId="11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14" borderId="13" xfId="0" applyFont="1" applyFill="1" applyBorder="1" applyAlignment="1">
      <alignment horizontal="center"/>
    </xf>
    <xf numFmtId="44" fontId="2" fillId="0" borderId="5" xfId="1" applyFont="1" applyBorder="1" applyAlignment="1">
      <alignment horizontal="center"/>
    </xf>
    <xf numFmtId="0" fontId="2" fillId="14" borderId="13" xfId="0" applyFont="1" applyFill="1" applyBorder="1"/>
    <xf numFmtId="44" fontId="0" fillId="0" borderId="13" xfId="1" applyFont="1" applyBorder="1"/>
    <xf numFmtId="0" fontId="2" fillId="14" borderId="13" xfId="0" applyFont="1" applyFill="1" applyBorder="1" applyAlignment="1">
      <alignment horizontal="left"/>
    </xf>
    <xf numFmtId="0" fontId="2" fillId="6" borderId="13" xfId="0" applyFont="1" applyFill="1" applyBorder="1"/>
    <xf numFmtId="0" fontId="0" fillId="6" borderId="13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13" borderId="0" xfId="0" applyFont="1" applyFill="1"/>
    <xf numFmtId="0" fontId="0" fillId="13" borderId="0" xfId="0" applyFill="1" applyAlignment="1">
      <alignment horizontal="center"/>
    </xf>
    <xf numFmtId="14" fontId="2" fillId="20" borderId="0" xfId="0" applyNumberFormat="1" applyFont="1" applyFill="1"/>
    <xf numFmtId="0" fontId="0" fillId="5" borderId="5" xfId="0" applyFill="1" applyBorder="1" applyAlignment="1">
      <alignment horizontal="center"/>
    </xf>
    <xf numFmtId="0" fontId="2" fillId="16" borderId="7" xfId="0" applyFont="1" applyFill="1" applyBorder="1"/>
    <xf numFmtId="164" fontId="2" fillId="16" borderId="27" xfId="0" applyNumberFormat="1" applyFont="1" applyFill="1" applyBorder="1" applyAlignment="1">
      <alignment horizontal="left"/>
    </xf>
    <xf numFmtId="0" fontId="2" fillId="16" borderId="5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left"/>
    </xf>
    <xf numFmtId="44" fontId="2" fillId="16" borderId="5" xfId="1" applyFont="1" applyFill="1" applyBorder="1" applyAlignment="1">
      <alignment horizontal="center"/>
    </xf>
    <xf numFmtId="0" fontId="2" fillId="16" borderId="49" xfId="0" applyFont="1" applyFill="1" applyBorder="1"/>
    <xf numFmtId="0" fontId="2" fillId="16" borderId="41" xfId="0" applyFont="1" applyFill="1" applyBorder="1"/>
    <xf numFmtId="0" fontId="2" fillId="16" borderId="50" xfId="0" applyFont="1" applyFill="1" applyBorder="1"/>
    <xf numFmtId="14" fontId="2" fillId="16" borderId="49" xfId="0" applyNumberFormat="1" applyFont="1" applyFill="1" applyBorder="1" applyAlignment="1">
      <alignment horizontal="left"/>
    </xf>
    <xf numFmtId="0" fontId="2" fillId="16" borderId="50" xfId="0" applyFont="1" applyFill="1" applyBorder="1" applyAlignment="1">
      <alignment horizontal="center"/>
    </xf>
    <xf numFmtId="0" fontId="2" fillId="16" borderId="41" xfId="0" applyFont="1" applyFill="1" applyBorder="1" applyAlignment="1">
      <alignment horizontal="center"/>
    </xf>
    <xf numFmtId="44" fontId="0" fillId="0" borderId="13" xfId="1" applyFont="1" applyFill="1" applyBorder="1"/>
    <xf numFmtId="0" fontId="0" fillId="5" borderId="13" xfId="0" applyFill="1" applyBorder="1"/>
    <xf numFmtId="0" fontId="2" fillId="18" borderId="49" xfId="0" applyFont="1" applyFill="1" applyBorder="1" applyAlignment="1">
      <alignment horizontal="center"/>
    </xf>
    <xf numFmtId="0" fontId="2" fillId="18" borderId="41" xfId="0" applyFont="1" applyFill="1" applyBorder="1" applyAlignment="1">
      <alignment horizontal="center"/>
    </xf>
    <xf numFmtId="14" fontId="2" fillId="18" borderId="50" xfId="0" applyNumberFormat="1" applyFont="1" applyFill="1" applyBorder="1" applyAlignment="1">
      <alignment horizontal="center"/>
    </xf>
    <xf numFmtId="0" fontId="2" fillId="23" borderId="5" xfId="0" applyFont="1" applyFill="1" applyBorder="1" applyAlignment="1">
      <alignment horizontal="left"/>
    </xf>
    <xf numFmtId="0" fontId="2" fillId="0" borderId="5" xfId="0" applyFont="1" applyBorder="1" applyAlignment="1">
      <alignment horizontal="right"/>
    </xf>
    <xf numFmtId="44" fontId="2" fillId="0" borderId="5" xfId="1" applyFont="1" applyFill="1" applyBorder="1"/>
    <xf numFmtId="0" fontId="2" fillId="8" borderId="0" xfId="0" applyFont="1" applyFill="1" applyAlignment="1">
      <alignment horizontal="center"/>
    </xf>
    <xf numFmtId="44" fontId="2" fillId="0" borderId="5" xfId="0" applyNumberFormat="1" applyFont="1" applyBorder="1"/>
    <xf numFmtId="0" fontId="0" fillId="26" borderId="5" xfId="0" applyFill="1" applyBorder="1"/>
    <xf numFmtId="0" fontId="2" fillId="16" borderId="27" xfId="0" applyFont="1" applyFill="1" applyBorder="1"/>
    <xf numFmtId="0" fontId="2" fillId="16" borderId="27" xfId="0" applyFont="1" applyFill="1" applyBorder="1" applyAlignment="1">
      <alignment horizontal="center"/>
    </xf>
    <xf numFmtId="44" fontId="2" fillId="0" borderId="5" xfId="1" applyFont="1" applyBorder="1"/>
    <xf numFmtId="44" fontId="0" fillId="0" borderId="5" xfId="1" applyFont="1" applyFill="1" applyBorder="1" applyAlignment="1">
      <alignment horizontal="left"/>
    </xf>
    <xf numFmtId="44" fontId="0" fillId="0" borderId="0" xfId="1" applyFont="1" applyFill="1" applyBorder="1" applyAlignment="1">
      <alignment horizontal="left"/>
    </xf>
    <xf numFmtId="0" fontId="32" fillId="0" borderId="5" xfId="0" applyFont="1" applyBorder="1" applyAlignment="1">
      <alignment horizontal="center"/>
    </xf>
    <xf numFmtId="44" fontId="0" fillId="16" borderId="5" xfId="1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44" fontId="2" fillId="26" borderId="40" xfId="0" applyNumberFormat="1" applyFont="1" applyFill="1" applyBorder="1"/>
    <xf numFmtId="0" fontId="2" fillId="16" borderId="19" xfId="0" applyFont="1" applyFill="1" applyBorder="1"/>
    <xf numFmtId="0" fontId="2" fillId="0" borderId="19" xfId="0" applyFont="1" applyBorder="1"/>
    <xf numFmtId="0" fontId="2" fillId="0" borderId="1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16" borderId="19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1" borderId="5" xfId="0" applyFont="1" applyFill="1" applyBorder="1"/>
    <xf numFmtId="0" fontId="0" fillId="11" borderId="5" xfId="0" applyFill="1" applyBorder="1"/>
    <xf numFmtId="164" fontId="2" fillId="16" borderId="5" xfId="0" applyNumberFormat="1" applyFont="1" applyFill="1" applyBorder="1" applyAlignment="1">
      <alignment horizontal="center"/>
    </xf>
    <xf numFmtId="0" fontId="0" fillId="16" borderId="5" xfId="0" applyFill="1" applyBorder="1"/>
    <xf numFmtId="44" fontId="2" fillId="26" borderId="5" xfId="0" applyNumberFormat="1" applyFont="1" applyFill="1" applyBorder="1"/>
    <xf numFmtId="0" fontId="0" fillId="14" borderId="39" xfId="0" applyFill="1" applyBorder="1"/>
    <xf numFmtId="0" fontId="2" fillId="26" borderId="5" xfId="0" applyFont="1" applyFill="1" applyBorder="1" applyAlignment="1">
      <alignment horizontal="right"/>
    </xf>
    <xf numFmtId="44" fontId="0" fillId="0" borderId="46" xfId="1" applyFont="1" applyFill="1" applyBorder="1"/>
    <xf numFmtId="44" fontId="0" fillId="0" borderId="46" xfId="1" applyFont="1" applyBorder="1"/>
    <xf numFmtId="44" fontId="2" fillId="0" borderId="0" xfId="1" applyFont="1" applyFill="1" applyBorder="1" applyAlignment="1">
      <alignment horizontal="center"/>
    </xf>
    <xf numFmtId="14" fontId="2" fillId="0" borderId="0" xfId="0" applyNumberFormat="1" applyFont="1"/>
    <xf numFmtId="44" fontId="3" fillId="0" borderId="0" xfId="1" applyFont="1" applyFill="1" applyBorder="1" applyAlignment="1"/>
    <xf numFmtId="165" fontId="0" fillId="0" borderId="5" xfId="1" applyNumberFormat="1" applyFont="1" applyBorder="1"/>
    <xf numFmtId="0" fontId="2" fillId="28" borderId="5" xfId="0" applyFont="1" applyFill="1" applyBorder="1"/>
    <xf numFmtId="44" fontId="2" fillId="28" borderId="5" xfId="0" applyNumberFormat="1" applyFont="1" applyFill="1" applyBorder="1"/>
    <xf numFmtId="44" fontId="2" fillId="28" borderId="5" xfId="1" applyFont="1" applyFill="1" applyBorder="1"/>
    <xf numFmtId="44" fontId="2" fillId="29" borderId="5" xfId="0" applyNumberFormat="1" applyFont="1" applyFill="1" applyBorder="1"/>
    <xf numFmtId="0" fontId="2" fillId="29" borderId="5" xfId="0" applyFont="1" applyFill="1" applyBorder="1"/>
    <xf numFmtId="0" fontId="3" fillId="16" borderId="27" xfId="0" applyFont="1" applyFill="1" applyBorder="1"/>
    <xf numFmtId="0" fontId="3" fillId="16" borderId="5" xfId="0" applyFont="1" applyFill="1" applyBorder="1"/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44" fontId="1" fillId="0" borderId="5" xfId="1" applyFont="1" applyBorder="1"/>
    <xf numFmtId="44" fontId="2" fillId="29" borderId="25" xfId="0" applyNumberFormat="1" applyFont="1" applyFill="1" applyBorder="1" applyAlignment="1">
      <alignment horizontal="right"/>
    </xf>
    <xf numFmtId="0" fontId="2" fillId="9" borderId="5" xfId="0" applyFont="1" applyFill="1" applyBorder="1" applyAlignment="1">
      <alignment horizontal="center"/>
    </xf>
    <xf numFmtId="44" fontId="0" fillId="9" borderId="5" xfId="1" applyFont="1" applyFill="1" applyBorder="1"/>
    <xf numFmtId="0" fontId="2" fillId="30" borderId="5" xfId="0" applyFont="1" applyFill="1" applyBorder="1" applyAlignment="1">
      <alignment horizontal="center"/>
    </xf>
    <xf numFmtId="44" fontId="0" fillId="30" borderId="5" xfId="1" applyFont="1" applyFill="1" applyBorder="1"/>
    <xf numFmtId="44" fontId="0" fillId="30" borderId="5" xfId="1" applyFont="1" applyFill="1" applyBorder="1" applyAlignment="1">
      <alignment horizontal="center"/>
    </xf>
    <xf numFmtId="0" fontId="0" fillId="8" borderId="0" xfId="0" applyFill="1"/>
    <xf numFmtId="0" fontId="0" fillId="0" borderId="0" xfId="0" applyAlignment="1">
      <alignment vertical="center"/>
    </xf>
    <xf numFmtId="0" fontId="3" fillId="23" borderId="17" xfId="0" applyFont="1" applyFill="1" applyBorder="1" applyAlignment="1">
      <alignment horizontal="center"/>
    </xf>
    <xf numFmtId="0" fontId="3" fillId="23" borderId="18" xfId="0" applyFont="1" applyFill="1" applyBorder="1" applyAlignment="1">
      <alignment horizontal="center"/>
    </xf>
    <xf numFmtId="0" fontId="3" fillId="23" borderId="22" xfId="0" applyFont="1" applyFill="1" applyBorder="1" applyAlignment="1">
      <alignment horizontal="center"/>
    </xf>
    <xf numFmtId="0" fontId="34" fillId="23" borderId="23" xfId="0" applyFont="1" applyFill="1" applyBorder="1"/>
    <xf numFmtId="0" fontId="3" fillId="23" borderId="24" xfId="0" applyFont="1" applyFill="1" applyBorder="1" applyAlignment="1">
      <alignment horizontal="center"/>
    </xf>
    <xf numFmtId="0" fontId="3" fillId="23" borderId="26" xfId="0" applyFont="1" applyFill="1" applyBorder="1" applyAlignment="1">
      <alignment horizontal="center"/>
    </xf>
    <xf numFmtId="0" fontId="2" fillId="28" borderId="52" xfId="0" applyFont="1" applyFill="1" applyBorder="1" applyAlignment="1">
      <alignment horizontal="center"/>
    </xf>
    <xf numFmtId="0" fontId="2" fillId="28" borderId="53" xfId="0" applyFont="1" applyFill="1" applyBorder="1" applyAlignment="1">
      <alignment horizontal="center"/>
    </xf>
    <xf numFmtId="0" fontId="2" fillId="28" borderId="54" xfId="0" applyFont="1" applyFill="1" applyBorder="1" applyAlignment="1">
      <alignment horizontal="center"/>
    </xf>
    <xf numFmtId="14" fontId="2" fillId="16" borderId="16" xfId="0" applyNumberFormat="1" applyFont="1" applyFill="1" applyBorder="1"/>
    <xf numFmtId="0" fontId="2" fillId="16" borderId="18" xfId="0" applyFont="1" applyFill="1" applyBorder="1" applyAlignment="1">
      <alignment horizontal="center"/>
    </xf>
    <xf numFmtId="0" fontId="2" fillId="29" borderId="21" xfId="0" applyFont="1" applyFill="1" applyBorder="1"/>
    <xf numFmtId="44" fontId="0" fillId="29" borderId="23" xfId="1" applyFont="1" applyFill="1" applyBorder="1"/>
    <xf numFmtId="0" fontId="2" fillId="16" borderId="16" xfId="0" applyFont="1" applyFill="1" applyBorder="1"/>
    <xf numFmtId="0" fontId="2" fillId="16" borderId="17" xfId="0" applyFont="1" applyFill="1" applyBorder="1" applyAlignment="1">
      <alignment horizontal="center"/>
    </xf>
    <xf numFmtId="0" fontId="2" fillId="16" borderId="17" xfId="0" applyFont="1" applyFill="1" applyBorder="1"/>
    <xf numFmtId="44" fontId="0" fillId="9" borderId="20" xfId="1" applyFont="1" applyFill="1" applyBorder="1"/>
    <xf numFmtId="44" fontId="0" fillId="30" borderId="20" xfId="1" applyFont="1" applyFill="1" applyBorder="1"/>
    <xf numFmtId="44" fontId="0" fillId="30" borderId="20" xfId="1" applyFont="1" applyFill="1" applyBorder="1" applyAlignment="1">
      <alignment horizontal="center"/>
    </xf>
    <xf numFmtId="44" fontId="2" fillId="29" borderId="22" xfId="0" applyNumberFormat="1" applyFont="1" applyFill="1" applyBorder="1"/>
    <xf numFmtId="44" fontId="2" fillId="29" borderId="23" xfId="0" applyNumberFormat="1" applyFont="1" applyFill="1" applyBorder="1"/>
    <xf numFmtId="14" fontId="2" fillId="16" borderId="5" xfId="0" applyNumberFormat="1" applyFont="1" applyFill="1" applyBorder="1" applyAlignment="1">
      <alignment horizontal="left"/>
    </xf>
    <xf numFmtId="0" fontId="0" fillId="27" borderId="0" xfId="0" applyFill="1"/>
    <xf numFmtId="0" fontId="2" fillId="6" borderId="5" xfId="0" applyFont="1" applyFill="1" applyBorder="1" applyAlignment="1">
      <alignment horizontal="center"/>
    </xf>
    <xf numFmtId="44" fontId="0" fillId="6" borderId="5" xfId="1" applyFont="1" applyFill="1" applyBorder="1"/>
    <xf numFmtId="0" fontId="2" fillId="15" borderId="1" xfId="0" applyFont="1" applyFill="1" applyBorder="1"/>
    <xf numFmtId="0" fontId="2" fillId="15" borderId="3" xfId="0" applyFont="1" applyFill="1" applyBorder="1" applyAlignment="1">
      <alignment horizontal="center"/>
    </xf>
    <xf numFmtId="0" fontId="2" fillId="0" borderId="30" xfId="0" applyFont="1" applyBorder="1"/>
    <xf numFmtId="0" fontId="2" fillId="29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14" fontId="2" fillId="15" borderId="5" xfId="0" applyNumberFormat="1" applyFont="1" applyFill="1" applyBorder="1" applyAlignment="1">
      <alignment horizontal="left"/>
    </xf>
    <xf numFmtId="0" fontId="2" fillId="25" borderId="0" xfId="0" applyFont="1" applyFill="1"/>
    <xf numFmtId="0" fontId="2" fillId="25" borderId="5" xfId="0" applyFont="1" applyFill="1" applyBorder="1" applyAlignment="1">
      <alignment horizontal="center"/>
    </xf>
    <xf numFmtId="0" fontId="2" fillId="32" borderId="5" xfId="0" applyFont="1" applyFill="1" applyBorder="1" applyAlignment="1">
      <alignment horizontal="center"/>
    </xf>
    <xf numFmtId="44" fontId="0" fillId="32" borderId="5" xfId="1" applyFont="1" applyFill="1" applyBorder="1"/>
    <xf numFmtId="0" fontId="0" fillId="32" borderId="5" xfId="0" applyFill="1" applyBorder="1" applyAlignment="1">
      <alignment horizontal="center"/>
    </xf>
    <xf numFmtId="0" fontId="2" fillId="29" borderId="5" xfId="0" applyFont="1" applyFill="1" applyBorder="1" applyAlignment="1">
      <alignment horizontal="right"/>
    </xf>
    <xf numFmtId="44" fontId="0" fillId="29" borderId="5" xfId="1" applyFont="1" applyFill="1" applyBorder="1"/>
    <xf numFmtId="0" fontId="2" fillId="0" borderId="46" xfId="0" applyFont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0" fontId="2" fillId="21" borderId="5" xfId="0" applyFont="1" applyFill="1" applyBorder="1"/>
    <xf numFmtId="0" fontId="2" fillId="0" borderId="46" xfId="0" applyFont="1" applyBorder="1"/>
    <xf numFmtId="44" fontId="0" fillId="0" borderId="5" xfId="1" applyFont="1" applyFill="1" applyBorder="1" applyAlignment="1">
      <alignment horizontal="right"/>
    </xf>
    <xf numFmtId="44" fontId="2" fillId="29" borderId="5" xfId="1" applyFont="1" applyFill="1" applyBorder="1"/>
    <xf numFmtId="44" fontId="2" fillId="29" borderId="5" xfId="1" applyFont="1" applyFill="1" applyBorder="1" applyAlignment="1">
      <alignment horizontal="center"/>
    </xf>
    <xf numFmtId="44" fontId="0" fillId="29" borderId="5" xfId="0" applyNumberFormat="1" applyFill="1" applyBorder="1"/>
    <xf numFmtId="44" fontId="2" fillId="21" borderId="5" xfId="1" applyFont="1" applyFill="1" applyBorder="1"/>
    <xf numFmtId="14" fontId="2" fillId="21" borderId="5" xfId="0" applyNumberFormat="1" applyFont="1" applyFill="1" applyBorder="1"/>
    <xf numFmtId="0" fontId="0" fillId="21" borderId="5" xfId="0" applyFill="1" applyBorder="1"/>
    <xf numFmtId="0" fontId="0" fillId="29" borderId="5" xfId="0" applyFill="1" applyBorder="1"/>
    <xf numFmtId="0" fontId="2" fillId="21" borderId="5" xfId="0" applyFont="1" applyFill="1" applyBorder="1" applyAlignment="1">
      <alignment horizontal="center" vertical="center"/>
    </xf>
    <xf numFmtId="0" fontId="2" fillId="33" borderId="5" xfId="0" applyFont="1" applyFill="1" applyBorder="1"/>
    <xf numFmtId="0" fontId="2" fillId="33" borderId="5" xfId="0" applyFont="1" applyFill="1" applyBorder="1" applyAlignment="1">
      <alignment horizontal="center"/>
    </xf>
    <xf numFmtId="44" fontId="0" fillId="33" borderId="5" xfId="1" applyFont="1" applyFill="1" applyBorder="1"/>
    <xf numFmtId="44" fontId="0" fillId="33" borderId="5" xfId="1" applyFont="1" applyFill="1" applyBorder="1" applyAlignment="1">
      <alignment horizontal="center"/>
    </xf>
    <xf numFmtId="0" fontId="0" fillId="33" borderId="0" xfId="0" applyFill="1"/>
    <xf numFmtId="44" fontId="0" fillId="0" borderId="11" xfId="1" applyFont="1" applyFill="1" applyBorder="1" applyAlignment="1">
      <alignment horizontal="center"/>
    </xf>
    <xf numFmtId="14" fontId="2" fillId="26" borderId="5" xfId="0" applyNumberFormat="1" applyFont="1" applyFill="1" applyBorder="1"/>
    <xf numFmtId="0" fontId="2" fillId="26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0" fontId="0" fillId="5" borderId="5" xfId="0" applyFill="1" applyBorder="1"/>
    <xf numFmtId="44" fontId="0" fillId="0" borderId="13" xfId="1" applyFont="1" applyBorder="1" applyAlignment="1">
      <alignment horizontal="right"/>
    </xf>
    <xf numFmtId="0" fontId="2" fillId="26" borderId="30" xfId="0" applyFont="1" applyFill="1" applyBorder="1" applyAlignment="1">
      <alignment horizontal="right"/>
    </xf>
    <xf numFmtId="44" fontId="0" fillId="0" borderId="29" xfId="1" applyFont="1" applyBorder="1"/>
    <xf numFmtId="0" fontId="2" fillId="16" borderId="29" xfId="0" applyFont="1" applyFill="1" applyBorder="1" applyAlignment="1">
      <alignment horizontal="center"/>
    </xf>
    <xf numFmtId="0" fontId="2" fillId="24" borderId="29" xfId="0" applyFont="1" applyFill="1" applyBorder="1"/>
    <xf numFmtId="44" fontId="2" fillId="28" borderId="13" xfId="1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21" borderId="27" xfId="0" applyFont="1" applyFill="1" applyBorder="1" applyAlignment="1">
      <alignment horizontal="center"/>
    </xf>
    <xf numFmtId="0" fontId="2" fillId="21" borderId="10" xfId="0" applyFont="1" applyFill="1" applyBorder="1" applyAlignment="1">
      <alignment horizontal="center"/>
    </xf>
    <xf numFmtId="44" fontId="2" fillId="28" borderId="56" xfId="1" applyFont="1" applyFill="1" applyBorder="1" applyAlignment="1">
      <alignment horizontal="center"/>
    </xf>
    <xf numFmtId="0" fontId="2" fillId="28" borderId="29" xfId="0" applyFont="1" applyFill="1" applyBorder="1" applyAlignment="1">
      <alignment horizontal="center"/>
    </xf>
    <xf numFmtId="44" fontId="2" fillId="28" borderId="16" xfId="1" applyFont="1" applyFill="1" applyBorder="1" applyAlignment="1">
      <alignment horizontal="center"/>
    </xf>
    <xf numFmtId="44" fontId="2" fillId="28" borderId="18" xfId="1" applyFont="1" applyFill="1" applyBorder="1" applyAlignment="1">
      <alignment horizontal="center"/>
    </xf>
    <xf numFmtId="0" fontId="0" fillId="0" borderId="21" xfId="0" applyBorder="1"/>
    <xf numFmtId="44" fontId="2" fillId="28" borderId="23" xfId="1" applyFont="1" applyFill="1" applyBorder="1"/>
    <xf numFmtId="164" fontId="2" fillId="0" borderId="5" xfId="0" applyNumberFormat="1" applyFont="1" applyBorder="1"/>
    <xf numFmtId="0" fontId="2" fillId="26" borderId="5" xfId="0" applyFont="1" applyFill="1" applyBorder="1"/>
    <xf numFmtId="0" fontId="0" fillId="26" borderId="5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Font="1" applyAlignment="1">
      <alignment horizontal="right"/>
    </xf>
    <xf numFmtId="0" fontId="2" fillId="9" borderId="5" xfId="0" applyFont="1" applyFill="1" applyBorder="1"/>
    <xf numFmtId="44" fontId="0" fillId="28" borderId="5" xfId="1" applyFont="1" applyFill="1" applyBorder="1"/>
    <xf numFmtId="44" fontId="0" fillId="28" borderId="5" xfId="1" applyFont="1" applyFill="1" applyBorder="1" applyAlignment="1">
      <alignment horizontal="right"/>
    </xf>
    <xf numFmtId="0" fontId="0" fillId="28" borderId="5" xfId="0" applyFill="1" applyBorder="1"/>
    <xf numFmtId="0" fontId="0" fillId="16" borderId="0" xfId="0" applyFill="1"/>
    <xf numFmtId="14" fontId="2" fillId="15" borderId="5" xfId="0" applyNumberFormat="1" applyFont="1" applyFill="1" applyBorder="1"/>
    <xf numFmtId="0" fontId="2" fillId="15" borderId="5" xfId="0" applyFont="1" applyFill="1" applyBorder="1"/>
    <xf numFmtId="44" fontId="0" fillId="29" borderId="5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right"/>
    </xf>
    <xf numFmtId="44" fontId="2" fillId="28" borderId="13" xfId="1" applyFont="1" applyFill="1" applyBorder="1"/>
    <xf numFmtId="14" fontId="2" fillId="15" borderId="27" xfId="0" applyNumberFormat="1" applyFont="1" applyFill="1" applyBorder="1"/>
    <xf numFmtId="0" fontId="2" fillId="15" borderId="27" xfId="0" applyFont="1" applyFill="1" applyBorder="1" applyAlignment="1">
      <alignment horizontal="center"/>
    </xf>
    <xf numFmtId="0" fontId="2" fillId="15" borderId="10" xfId="0" applyFont="1" applyFill="1" applyBorder="1"/>
    <xf numFmtId="0" fontId="2" fillId="15" borderId="10" xfId="0" applyFont="1" applyFill="1" applyBorder="1" applyAlignment="1">
      <alignment horizontal="center"/>
    </xf>
    <xf numFmtId="0" fontId="2" fillId="15" borderId="15" xfId="0" applyFont="1" applyFill="1" applyBorder="1"/>
    <xf numFmtId="0" fontId="2" fillId="15" borderId="16" xfId="0" applyFont="1" applyFill="1" applyBorder="1" applyAlignment="1">
      <alignment horizontal="center"/>
    </xf>
    <xf numFmtId="0" fontId="2" fillId="15" borderId="57" xfId="0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0" borderId="13" xfId="0" applyFont="1" applyBorder="1"/>
    <xf numFmtId="165" fontId="0" fillId="0" borderId="0" xfId="1" applyNumberFormat="1" applyFont="1" applyFill="1" applyBorder="1"/>
    <xf numFmtId="0" fontId="2" fillId="0" borderId="0" xfId="0" applyFont="1" applyAlignment="1">
      <alignment vertical="center"/>
    </xf>
    <xf numFmtId="44" fontId="1" fillId="0" borderId="5" xfId="1" applyFont="1" applyFill="1" applyBorder="1"/>
    <xf numFmtId="0" fontId="2" fillId="16" borderId="28" xfId="0" applyFont="1" applyFill="1" applyBorder="1"/>
    <xf numFmtId="14" fontId="2" fillId="16" borderId="29" xfId="0" applyNumberFormat="1" applyFont="1" applyFill="1" applyBorder="1" applyAlignment="1">
      <alignment horizontal="left"/>
    </xf>
    <xf numFmtId="44" fontId="0" fillId="29" borderId="0" xfId="1" applyFont="1" applyFill="1" applyBorder="1"/>
    <xf numFmtId="44" fontId="1" fillId="0" borderId="5" xfId="1" applyFont="1" applyBorder="1" applyAlignment="1">
      <alignment horizontal="center"/>
    </xf>
    <xf numFmtId="0" fontId="2" fillId="16" borderId="46" xfId="0" applyFont="1" applyFill="1" applyBorder="1" applyAlignment="1">
      <alignment horizontal="center"/>
    </xf>
    <xf numFmtId="14" fontId="2" fillId="16" borderId="5" xfId="0" applyNumberFormat="1" applyFont="1" applyFill="1" applyBorder="1" applyAlignment="1">
      <alignment horizontal="center"/>
    </xf>
    <xf numFmtId="0" fontId="0" fillId="26" borderId="58" xfId="0" applyFill="1" applyBorder="1" applyAlignment="1">
      <alignment horizontal="center"/>
    </xf>
    <xf numFmtId="0" fontId="0" fillId="26" borderId="59" xfId="0" applyFill="1" applyBorder="1" applyAlignment="1">
      <alignment horizontal="center"/>
    </xf>
    <xf numFmtId="44" fontId="2" fillId="0" borderId="5" xfId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16" borderId="52" xfId="0" applyFont="1" applyFill="1" applyBorder="1" applyAlignment="1">
      <alignment horizontal="left"/>
    </xf>
    <xf numFmtId="0" fontId="2" fillId="16" borderId="31" xfId="0" applyFont="1" applyFill="1" applyBorder="1" applyAlignment="1">
      <alignment horizontal="center"/>
    </xf>
    <xf numFmtId="0" fontId="0" fillId="16" borderId="10" xfId="0" applyFill="1" applyBorder="1"/>
    <xf numFmtId="44" fontId="2" fillId="29" borderId="60" xfId="1" applyFont="1" applyFill="1" applyBorder="1"/>
    <xf numFmtId="44" fontId="2" fillId="29" borderId="13" xfId="1" applyFont="1" applyFill="1" applyBorder="1"/>
    <xf numFmtId="44" fontId="2" fillId="0" borderId="0" xfId="1" applyFont="1" applyFill="1"/>
    <xf numFmtId="0" fontId="2" fillId="16" borderId="61" xfId="0" applyFont="1" applyFill="1" applyBorder="1"/>
    <xf numFmtId="0" fontId="2" fillId="18" borderId="0" xfId="0" applyFont="1" applyFill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center"/>
    </xf>
    <xf numFmtId="0" fontId="2" fillId="14" borderId="17" xfId="0" applyFont="1" applyFill="1" applyBorder="1"/>
    <xf numFmtId="0" fontId="2" fillId="14" borderId="18" xfId="0" applyFont="1" applyFill="1" applyBorder="1"/>
    <xf numFmtId="0" fontId="2" fillId="18" borderId="19" xfId="0" applyFont="1" applyFill="1" applyBorder="1" applyAlignment="1">
      <alignment horizontal="center"/>
    </xf>
    <xf numFmtId="0" fontId="2" fillId="18" borderId="20" xfId="0" applyFont="1" applyFill="1" applyBorder="1" applyAlignment="1">
      <alignment horizontal="center"/>
    </xf>
    <xf numFmtId="44" fontId="0" fillId="5" borderId="5" xfId="1" applyFont="1" applyFill="1" applyBorder="1"/>
    <xf numFmtId="44" fontId="0" fillId="0" borderId="0" xfId="1" applyFont="1" applyBorder="1" applyAlignment="1">
      <alignment horizontal="center"/>
    </xf>
    <xf numFmtId="44" fontId="2" fillId="16" borderId="5" xfId="1" applyFont="1" applyFill="1" applyBorder="1"/>
    <xf numFmtId="0" fontId="0" fillId="6" borderId="5" xfId="0" applyFill="1" applyBorder="1"/>
    <xf numFmtId="44" fontId="2" fillId="5" borderId="0" xfId="1" applyFont="1" applyFill="1" applyBorder="1"/>
    <xf numFmtId="0" fontId="2" fillId="8" borderId="19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44" fontId="0" fillId="8" borderId="20" xfId="1" applyFont="1" applyFill="1" applyBorder="1"/>
    <xf numFmtId="44" fontId="0" fillId="8" borderId="23" xfId="1" applyFont="1" applyFill="1" applyBorder="1"/>
    <xf numFmtId="0" fontId="0" fillId="8" borderId="20" xfId="0" applyFill="1" applyBorder="1" applyAlignment="1">
      <alignment horizontal="center"/>
    </xf>
    <xf numFmtId="0" fontId="2" fillId="34" borderId="19" xfId="0" applyFont="1" applyFill="1" applyBorder="1" applyAlignment="1">
      <alignment horizontal="center"/>
    </xf>
    <xf numFmtId="0" fontId="0" fillId="34" borderId="5" xfId="0" applyFill="1" applyBorder="1" applyAlignment="1">
      <alignment horizontal="center"/>
    </xf>
    <xf numFmtId="0" fontId="2" fillId="14" borderId="17" xfId="0" applyFont="1" applyFill="1" applyBorder="1" applyAlignment="1">
      <alignment horizontal="left"/>
    </xf>
    <xf numFmtId="0" fontId="2" fillId="14" borderId="57" xfId="0" applyFont="1" applyFill="1" applyBorder="1"/>
    <xf numFmtId="0" fontId="2" fillId="18" borderId="29" xfId="0" applyFont="1" applyFill="1" applyBorder="1" applyAlignment="1">
      <alignment horizontal="center"/>
    </xf>
    <xf numFmtId="0" fontId="0" fillId="0" borderId="29" xfId="0" applyBorder="1"/>
    <xf numFmtId="0" fontId="0" fillId="34" borderId="29" xfId="0" applyFill="1" applyBorder="1" applyAlignment="1">
      <alignment horizontal="center"/>
    </xf>
    <xf numFmtId="166" fontId="0" fillId="0" borderId="5" xfId="0" applyNumberFormat="1" applyBorder="1"/>
    <xf numFmtId="44" fontId="0" fillId="0" borderId="29" xfId="1" applyFont="1" applyFill="1" applyBorder="1" applyAlignment="1">
      <alignment horizontal="center"/>
    </xf>
    <xf numFmtId="44" fontId="2" fillId="0" borderId="29" xfId="1" applyFont="1" applyBorder="1"/>
    <xf numFmtId="0" fontId="2" fillId="34" borderId="29" xfId="0" applyFont="1" applyFill="1" applyBorder="1" applyAlignment="1">
      <alignment horizontal="center"/>
    </xf>
    <xf numFmtId="44" fontId="2" fillId="0" borderId="29" xfId="1" applyFont="1" applyFill="1" applyBorder="1" applyAlignment="1">
      <alignment horizontal="center"/>
    </xf>
    <xf numFmtId="14" fontId="2" fillId="6" borderId="5" xfId="0" applyNumberFormat="1" applyFont="1" applyFill="1" applyBorder="1"/>
    <xf numFmtId="0" fontId="2" fillId="6" borderId="5" xfId="0" applyFont="1" applyFill="1" applyBorder="1"/>
    <xf numFmtId="16" fontId="0" fillId="0" borderId="5" xfId="0" applyNumberFormat="1" applyBorder="1"/>
    <xf numFmtId="44" fontId="2" fillId="0" borderId="0" xfId="1" applyFont="1" applyBorder="1"/>
    <xf numFmtId="44" fontId="2" fillId="0" borderId="0" xfId="1" applyFont="1" applyBorder="1" applyAlignment="1">
      <alignment horizontal="center"/>
    </xf>
    <xf numFmtId="166" fontId="0" fillId="0" borderId="0" xfId="0" applyNumberFormat="1"/>
    <xf numFmtId="0" fontId="2" fillId="5" borderId="5" xfId="0" applyFont="1" applyFill="1" applyBorder="1" applyAlignment="1">
      <alignment horizontal="center"/>
    </xf>
    <xf numFmtId="16" fontId="0" fillId="5" borderId="5" xfId="0" applyNumberFormat="1" applyFill="1" applyBorder="1"/>
    <xf numFmtId="0" fontId="0" fillId="27" borderId="5" xfId="0" applyFill="1" applyBorder="1"/>
    <xf numFmtId="44" fontId="0" fillId="34" borderId="20" xfId="1" applyFont="1" applyFill="1" applyBorder="1" applyAlignment="1">
      <alignment horizontal="center"/>
    </xf>
    <xf numFmtId="44" fontId="0" fillId="0" borderId="20" xfId="1" applyFont="1" applyFill="1" applyBorder="1" applyAlignment="1">
      <alignment horizontal="center"/>
    </xf>
    <xf numFmtId="44" fontId="0" fillId="34" borderId="29" xfId="1" applyFont="1" applyFill="1" applyBorder="1"/>
    <xf numFmtId="0" fontId="2" fillId="9" borderId="5" xfId="0" applyFont="1" applyFill="1" applyBorder="1" applyAlignment="1">
      <alignment horizontal="left"/>
    </xf>
    <xf numFmtId="44" fontId="2" fillId="9" borderId="5" xfId="1" applyFont="1" applyFill="1" applyBorder="1"/>
    <xf numFmtId="44" fontId="0" fillId="34" borderId="5" xfId="1" applyFont="1" applyFill="1" applyBorder="1"/>
    <xf numFmtId="14" fontId="2" fillId="33" borderId="5" xfId="0" applyNumberFormat="1" applyFont="1" applyFill="1" applyBorder="1"/>
    <xf numFmtId="44" fontId="2" fillId="0" borderId="0" xfId="1" applyFont="1" applyFill="1" applyBorder="1" applyAlignment="1">
      <alignment horizontal="right"/>
    </xf>
    <xf numFmtId="0" fontId="2" fillId="11" borderId="5" xfId="0" applyFont="1" applyFill="1" applyBorder="1" applyAlignment="1">
      <alignment horizontal="center"/>
    </xf>
    <xf numFmtId="0" fontId="2" fillId="11" borderId="0" xfId="0" applyFont="1" applyFill="1" applyAlignment="1">
      <alignment horizontal="right"/>
    </xf>
    <xf numFmtId="0" fontId="18" fillId="11" borderId="5" xfId="0" applyFont="1" applyFill="1" applyBorder="1"/>
    <xf numFmtId="44" fontId="32" fillId="0" borderId="5" xfId="1" applyFont="1" applyBorder="1"/>
    <xf numFmtId="44" fontId="32" fillId="0" borderId="5" xfId="1" applyFont="1" applyBorder="1" applyAlignment="1">
      <alignment horizontal="center"/>
    </xf>
    <xf numFmtId="44" fontId="2" fillId="20" borderId="5" xfId="1" applyFont="1" applyFill="1" applyBorder="1"/>
    <xf numFmtId="0" fontId="2" fillId="20" borderId="5" xfId="0" applyFont="1" applyFill="1" applyBorder="1" applyAlignment="1">
      <alignment horizontal="center"/>
    </xf>
    <xf numFmtId="0" fontId="2" fillId="11" borderId="29" xfId="0" applyFont="1" applyFill="1" applyBorder="1"/>
    <xf numFmtId="44" fontId="2" fillId="0" borderId="5" xfId="1" applyFont="1" applyBorder="1" applyAlignment="1">
      <alignment vertical="center"/>
    </xf>
    <xf numFmtId="0" fontId="2" fillId="14" borderId="29" xfId="0" applyFont="1" applyFill="1" applyBorder="1" applyAlignment="1">
      <alignment horizontal="center"/>
    </xf>
    <xf numFmtId="44" fontId="2" fillId="14" borderId="5" xfId="1" applyFont="1" applyFill="1" applyBorder="1" applyAlignment="1">
      <alignment horizontal="left"/>
    </xf>
    <xf numFmtId="44" fontId="2" fillId="5" borderId="5" xfId="1" applyFont="1" applyFill="1" applyBorder="1"/>
    <xf numFmtId="0" fontId="0" fillId="0" borderId="13" xfId="0" applyBorder="1"/>
    <xf numFmtId="16" fontId="0" fillId="0" borderId="13" xfId="0" applyNumberFormat="1" applyBorder="1"/>
    <xf numFmtId="0" fontId="2" fillId="18" borderId="62" xfId="0" applyFont="1" applyFill="1" applyBorder="1" applyAlignment="1">
      <alignment horizontal="center"/>
    </xf>
    <xf numFmtId="0" fontId="2" fillId="18" borderId="13" xfId="0" applyFont="1" applyFill="1" applyBorder="1" applyAlignment="1">
      <alignment horizontal="center"/>
    </xf>
    <xf numFmtId="0" fontId="2" fillId="18" borderId="63" xfId="0" applyFont="1" applyFill="1" applyBorder="1" applyAlignment="1">
      <alignment horizontal="center"/>
    </xf>
    <xf numFmtId="0" fontId="2" fillId="14" borderId="49" xfId="0" applyFont="1" applyFill="1" applyBorder="1" applyAlignment="1">
      <alignment horizontal="center"/>
    </xf>
    <xf numFmtId="0" fontId="2" fillId="14" borderId="41" xfId="0" applyFont="1" applyFill="1" applyBorder="1" applyAlignment="1">
      <alignment horizontal="left"/>
    </xf>
    <xf numFmtId="0" fontId="2" fillId="14" borderId="50" xfId="0" applyFont="1" applyFill="1" applyBorder="1"/>
    <xf numFmtId="44" fontId="2" fillId="11" borderId="5" xfId="0" applyNumberFormat="1" applyFont="1" applyFill="1" applyBorder="1"/>
    <xf numFmtId="0" fontId="2" fillId="11" borderId="5" xfId="0" applyFont="1" applyFill="1" applyBorder="1" applyAlignment="1">
      <alignment horizontal="left"/>
    </xf>
    <xf numFmtId="0" fontId="2" fillId="20" borderId="27" xfId="0" applyFont="1" applyFill="1" applyBorder="1" applyAlignment="1">
      <alignment horizontal="center"/>
    </xf>
    <xf numFmtId="44" fontId="2" fillId="20" borderId="10" xfId="1" applyFont="1" applyFill="1" applyBorder="1" applyAlignment="1">
      <alignment horizontal="center"/>
    </xf>
    <xf numFmtId="0" fontId="2" fillId="14" borderId="5" xfId="0" applyFont="1" applyFill="1" applyBorder="1" applyAlignment="1">
      <alignment horizontal="left"/>
    </xf>
    <xf numFmtId="14" fontId="2" fillId="14" borderId="5" xfId="0" applyNumberFormat="1" applyFont="1" applyFill="1" applyBorder="1"/>
    <xf numFmtId="44" fontId="2" fillId="14" borderId="5" xfId="1" applyFont="1" applyFill="1" applyBorder="1" applyAlignment="1">
      <alignment horizontal="center"/>
    </xf>
    <xf numFmtId="0" fontId="0" fillId="29" borderId="5" xfId="0" applyFill="1" applyBorder="1" applyAlignment="1">
      <alignment horizontal="center"/>
    </xf>
    <xf numFmtId="20" fontId="0" fillId="0" borderId="0" xfId="0" applyNumberFormat="1"/>
    <xf numFmtId="44" fontId="2" fillId="8" borderId="5" xfId="1" applyFont="1" applyFill="1" applyBorder="1"/>
    <xf numFmtId="44" fontId="2" fillId="8" borderId="5" xfId="0" applyNumberFormat="1" applyFont="1" applyFill="1" applyBorder="1"/>
    <xf numFmtId="0" fontId="2" fillId="8" borderId="5" xfId="0" applyFont="1" applyFill="1" applyBorder="1" applyAlignment="1">
      <alignment horizontal="center"/>
    </xf>
    <xf numFmtId="44" fontId="2" fillId="8" borderId="5" xfId="1" applyFont="1" applyFill="1" applyBorder="1" applyAlignment="1">
      <alignment horizontal="left"/>
    </xf>
    <xf numFmtId="14" fontId="2" fillId="14" borderId="13" xfId="0" applyNumberFormat="1" applyFont="1" applyFill="1" applyBorder="1" applyAlignment="1">
      <alignment horizontal="left"/>
    </xf>
    <xf numFmtId="0" fontId="0" fillId="0" borderId="5" xfId="0" applyBorder="1" applyAlignment="1">
      <alignment vertical="center"/>
    </xf>
    <xf numFmtId="0" fontId="2" fillId="14" borderId="0" xfId="0" applyFont="1" applyFill="1" applyAlignment="1">
      <alignment horizontal="left"/>
    </xf>
    <xf numFmtId="44" fontId="2" fillId="34" borderId="0" xfId="1" applyFont="1" applyFill="1" applyBorder="1"/>
    <xf numFmtId="44" fontId="0" fillId="28" borderId="65" xfId="1" applyFont="1" applyFill="1" applyBorder="1"/>
    <xf numFmtId="44" fontId="2" fillId="34" borderId="5" xfId="1" applyFont="1" applyFill="1" applyBorder="1"/>
    <xf numFmtId="0" fontId="2" fillId="0" borderId="5" xfId="0" applyFont="1" applyBorder="1" applyAlignment="1">
      <alignment horizontal="center" vertical="center"/>
    </xf>
    <xf numFmtId="0" fontId="2" fillId="14" borderId="0" xfId="0" applyFont="1" applyFill="1" applyAlignment="1">
      <alignment horizontal="right"/>
    </xf>
    <xf numFmtId="0" fontId="2" fillId="14" borderId="29" xfId="0" applyFont="1" applyFill="1" applyBorder="1"/>
    <xf numFmtId="0" fontId="2" fillId="0" borderId="29" xfId="0" applyFont="1" applyBorder="1"/>
    <xf numFmtId="44" fontId="2" fillId="34" borderId="5" xfId="0" applyNumberFormat="1" applyFont="1" applyFill="1" applyBorder="1"/>
    <xf numFmtId="0" fontId="2" fillId="27" borderId="5" xfId="0" applyFont="1" applyFill="1" applyBorder="1" applyAlignment="1">
      <alignment horizontal="left"/>
    </xf>
    <xf numFmtId="0" fontId="2" fillId="27" borderId="11" xfId="0" applyFont="1" applyFill="1" applyBorder="1" applyAlignment="1">
      <alignment horizontal="left"/>
    </xf>
    <xf numFmtId="0" fontId="2" fillId="15" borderId="5" xfId="0" applyFont="1" applyFill="1" applyBorder="1" applyAlignment="1">
      <alignment horizontal="left"/>
    </xf>
    <xf numFmtId="44" fontId="0" fillId="15" borderId="5" xfId="1" applyFont="1" applyFill="1" applyBorder="1"/>
    <xf numFmtId="0" fontId="0" fillId="15" borderId="5" xfId="0" applyFill="1" applyBorder="1"/>
    <xf numFmtId="16" fontId="0" fillId="0" borderId="0" xfId="0" applyNumberFormat="1"/>
    <xf numFmtId="44" fontId="2" fillId="29" borderId="0" xfId="0" applyNumberFormat="1" applyFont="1" applyFill="1"/>
    <xf numFmtId="44" fontId="0" fillId="21" borderId="5" xfId="1" applyFont="1" applyFill="1" applyBorder="1"/>
    <xf numFmtId="44" fontId="0" fillId="34" borderId="5" xfId="0" applyNumberFormat="1" applyFill="1" applyBorder="1"/>
    <xf numFmtId="0" fontId="2" fillId="11" borderId="5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2" fillId="11" borderId="29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5" xfId="0" applyBorder="1" applyAlignment="1">
      <alignment horizontal="left"/>
    </xf>
    <xf numFmtId="14" fontId="2" fillId="14" borderId="5" xfId="0" applyNumberFormat="1" applyFont="1" applyFill="1" applyBorder="1" applyAlignment="1">
      <alignment horizontal="left"/>
    </xf>
    <xf numFmtId="0" fontId="2" fillId="14" borderId="29" xfId="0" applyFont="1" applyFill="1" applyBorder="1" applyAlignment="1">
      <alignment horizontal="center" vertical="center"/>
    </xf>
    <xf numFmtId="44" fontId="2" fillId="14" borderId="5" xfId="0" applyNumberFormat="1" applyFont="1" applyFill="1" applyBorder="1" applyAlignment="1">
      <alignment horizontal="center"/>
    </xf>
    <xf numFmtId="44" fontId="0" fillId="0" borderId="46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2" fillId="14" borderId="66" xfId="0" applyFont="1" applyFill="1" applyBorder="1" applyAlignment="1">
      <alignment horizontal="left"/>
    </xf>
    <xf numFmtId="44" fontId="0" fillId="0" borderId="11" xfId="1" applyFont="1" applyFill="1" applyBorder="1"/>
    <xf numFmtId="0" fontId="2" fillId="14" borderId="46" xfId="0" applyFont="1" applyFill="1" applyBorder="1"/>
    <xf numFmtId="44" fontId="0" fillId="0" borderId="46" xfId="1" applyFont="1" applyFill="1" applyBorder="1" applyAlignment="1">
      <alignment horizontal="center"/>
    </xf>
    <xf numFmtId="0" fontId="0" fillId="0" borderId="46" xfId="0" applyBorder="1"/>
    <xf numFmtId="0" fontId="3" fillId="16" borderId="5" xfId="0" applyFont="1" applyFill="1" applyBorder="1" applyAlignment="1">
      <alignment horizontal="center"/>
    </xf>
    <xf numFmtId="3" fontId="2" fillId="0" borderId="5" xfId="0" applyNumberFormat="1" applyFont="1" applyBorder="1"/>
    <xf numFmtId="44" fontId="2" fillId="29" borderId="5" xfId="0" applyNumberFormat="1" applyFont="1" applyFill="1" applyBorder="1" applyAlignment="1">
      <alignment horizontal="right"/>
    </xf>
    <xf numFmtId="44" fontId="2" fillId="0" borderId="0" xfId="0" applyNumberFormat="1" applyFont="1" applyAlignment="1">
      <alignment horizontal="right"/>
    </xf>
    <xf numFmtId="0" fontId="2" fillId="14" borderId="5" xfId="0" applyFont="1" applyFill="1" applyBorder="1" applyAlignment="1">
      <alignment vertical="center"/>
    </xf>
    <xf numFmtId="14" fontId="2" fillId="11" borderId="5" xfId="0" applyNumberFormat="1" applyFont="1" applyFill="1" applyBorder="1"/>
    <xf numFmtId="44" fontId="0" fillId="0" borderId="25" xfId="1" applyFont="1" applyBorder="1" applyAlignment="1">
      <alignment horizontal="center"/>
    </xf>
    <xf numFmtId="0" fontId="0" fillId="0" borderId="5" xfId="0" applyBorder="1" applyAlignment="1">
      <alignment horizontal="right"/>
    </xf>
    <xf numFmtId="44" fontId="0" fillId="14" borderId="5" xfId="1" applyFont="1" applyFill="1" applyBorder="1"/>
    <xf numFmtId="0" fontId="2" fillId="23" borderId="5" xfId="0" applyFont="1" applyFill="1" applyBorder="1" applyAlignment="1">
      <alignment horizontal="right"/>
    </xf>
    <xf numFmtId="0" fontId="2" fillId="11" borderId="11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18" fillId="0" borderId="5" xfId="0" applyFont="1" applyBorder="1" applyAlignment="1">
      <alignment horizontal="right"/>
    </xf>
    <xf numFmtId="14" fontId="2" fillId="0" borderId="5" xfId="0" applyNumberFormat="1" applyFont="1" applyBorder="1"/>
    <xf numFmtId="44" fontId="1" fillId="0" borderId="5" xfId="1" applyFont="1" applyFill="1" applyBorder="1" applyAlignment="1">
      <alignment horizontal="center"/>
    </xf>
    <xf numFmtId="44" fontId="0" fillId="0" borderId="5" xfId="1" applyFont="1" applyBorder="1" applyAlignment="1">
      <alignment horizontal="right"/>
    </xf>
    <xf numFmtId="0" fontId="0" fillId="20" borderId="5" xfId="0" applyFill="1" applyBorder="1"/>
    <xf numFmtId="44" fontId="0" fillId="5" borderId="5" xfId="0" applyNumberFormat="1" applyFill="1" applyBorder="1"/>
    <xf numFmtId="0" fontId="36" fillId="8" borderId="19" xfId="0" applyFont="1" applyFill="1" applyBorder="1" applyAlignment="1">
      <alignment horizontal="center"/>
    </xf>
    <xf numFmtId="0" fontId="37" fillId="8" borderId="5" xfId="0" applyFont="1" applyFill="1" applyBorder="1" applyAlignment="1">
      <alignment horizontal="center"/>
    </xf>
    <xf numFmtId="44" fontId="37" fillId="8" borderId="5" xfId="1" applyFont="1" applyFill="1" applyBorder="1"/>
    <xf numFmtId="0" fontId="37" fillId="8" borderId="5" xfId="0" applyFont="1" applyFill="1" applyBorder="1"/>
    <xf numFmtId="0" fontId="0" fillId="0" borderId="0" xfId="0" applyAlignment="1">
      <alignment horizontal="left"/>
    </xf>
    <xf numFmtId="44" fontId="2" fillId="14" borderId="5" xfId="1" applyFont="1" applyFill="1" applyBorder="1"/>
    <xf numFmtId="44" fontId="0" fillId="5" borderId="0" xfId="1" applyFont="1" applyFill="1" applyBorder="1"/>
    <xf numFmtId="0" fontId="38" fillId="0" borderId="0" xfId="0" applyFont="1"/>
    <xf numFmtId="0" fontId="39" fillId="0" borderId="0" xfId="0" applyFont="1"/>
    <xf numFmtId="0" fontId="38" fillId="0" borderId="0" xfId="0" applyFont="1" applyAlignment="1">
      <alignment vertical="center"/>
    </xf>
    <xf numFmtId="0" fontId="40" fillId="0" borderId="5" xfId="0" applyFont="1" applyBorder="1"/>
    <xf numFmtId="0" fontId="41" fillId="0" borderId="5" xfId="0" applyFont="1" applyBorder="1"/>
    <xf numFmtId="0" fontId="40" fillId="0" borderId="5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8" fillId="0" borderId="5" xfId="0" applyFont="1" applyBorder="1" applyAlignment="1">
      <alignment vertical="center"/>
    </xf>
    <xf numFmtId="0" fontId="39" fillId="0" borderId="5" xfId="0" applyFont="1" applyBorder="1" applyAlignment="1">
      <alignment horizontal="center" vertical="center"/>
    </xf>
    <xf numFmtId="0" fontId="38" fillId="0" borderId="5" xfId="0" applyFont="1" applyBorder="1"/>
    <xf numFmtId="0" fontId="39" fillId="0" borderId="5" xfId="0" applyFont="1" applyBorder="1" applyAlignment="1">
      <alignment horizontal="center"/>
    </xf>
    <xf numFmtId="0" fontId="42" fillId="0" borderId="0" xfId="0" applyFont="1" applyAlignment="1">
      <alignment vertical="center"/>
    </xf>
    <xf numFmtId="44" fontId="23" fillId="0" borderId="0" xfId="1" applyFont="1"/>
    <xf numFmtId="0" fontId="23" fillId="0" borderId="0" xfId="0" applyFont="1"/>
    <xf numFmtId="0" fontId="42" fillId="0" borderId="0" xfId="0" applyFont="1" applyAlignment="1">
      <alignment horizontal="center" vertical="center"/>
    </xf>
    <xf numFmtId="0" fontId="43" fillId="11" borderId="5" xfId="0" applyFont="1" applyFill="1" applyBorder="1" applyAlignment="1">
      <alignment vertical="center"/>
    </xf>
    <xf numFmtId="0" fontId="43" fillId="11" borderId="5" xfId="0" applyFont="1" applyFill="1" applyBorder="1" applyAlignment="1">
      <alignment horizontal="center"/>
    </xf>
    <xf numFmtId="44" fontId="43" fillId="11" borderId="5" xfId="1" applyFont="1" applyFill="1" applyBorder="1" applyAlignment="1">
      <alignment horizontal="center"/>
    </xf>
    <xf numFmtId="0" fontId="43" fillId="11" borderId="5" xfId="0" applyFont="1" applyFill="1" applyBorder="1"/>
    <xf numFmtId="0" fontId="23" fillId="0" borderId="5" xfId="0" applyFont="1" applyBorder="1" applyAlignment="1">
      <alignment horizontal="left"/>
    </xf>
    <xf numFmtId="44" fontId="23" fillId="0" borderId="5" xfId="1" applyFont="1" applyBorder="1"/>
    <xf numFmtId="0" fontId="44" fillId="11" borderId="5" xfId="0" applyFont="1" applyFill="1" applyBorder="1" applyAlignment="1">
      <alignment vertical="center"/>
    </xf>
    <xf numFmtId="0" fontId="45" fillId="0" borderId="5" xfId="0" applyFont="1" applyBorder="1" applyAlignment="1">
      <alignment horizontal="left" vertical="center"/>
    </xf>
    <xf numFmtId="0" fontId="42" fillId="14" borderId="5" xfId="0" applyFont="1" applyFill="1" applyBorder="1" applyAlignment="1">
      <alignment vertical="center"/>
    </xf>
    <xf numFmtId="44" fontId="23" fillId="0" borderId="5" xfId="0" applyNumberFormat="1" applyFont="1" applyBorder="1"/>
    <xf numFmtId="0" fontId="23" fillId="0" borderId="5" xfId="0" applyFont="1" applyBorder="1"/>
    <xf numFmtId="0" fontId="23" fillId="14" borderId="5" xfId="0" applyFont="1" applyFill="1" applyBorder="1"/>
    <xf numFmtId="0" fontId="23" fillId="0" borderId="5" xfId="0" applyFont="1" applyBorder="1" applyAlignment="1">
      <alignment horizontal="center"/>
    </xf>
    <xf numFmtId="0" fontId="44" fillId="14" borderId="5" xfId="0" applyFont="1" applyFill="1" applyBorder="1" applyAlignment="1">
      <alignment vertical="center"/>
    </xf>
    <xf numFmtId="0" fontId="44" fillId="14" borderId="5" xfId="0" applyFont="1" applyFill="1" applyBorder="1" applyAlignment="1">
      <alignment horizontal="left" vertical="center"/>
    </xf>
    <xf numFmtId="0" fontId="43" fillId="14" borderId="5" xfId="0" applyFont="1" applyFill="1" applyBorder="1"/>
    <xf numFmtId="0" fontId="43" fillId="14" borderId="5" xfId="0" applyFont="1" applyFill="1" applyBorder="1" applyAlignment="1">
      <alignment horizontal="center"/>
    </xf>
    <xf numFmtId="44" fontId="23" fillId="0" borderId="0" xfId="1" applyFont="1" applyBorder="1"/>
    <xf numFmtId="0" fontId="43" fillId="0" borderId="0" xfId="0" applyFont="1"/>
    <xf numFmtId="0" fontId="43" fillId="14" borderId="5" xfId="0" applyFont="1" applyFill="1" applyBorder="1" applyAlignment="1">
      <alignment horizontal="left"/>
    </xf>
    <xf numFmtId="0" fontId="43" fillId="0" borderId="0" xfId="0" applyFont="1" applyAlignment="1">
      <alignment horizontal="center"/>
    </xf>
    <xf numFmtId="44" fontId="23" fillId="20" borderId="5" xfId="1" applyFont="1" applyFill="1" applyBorder="1"/>
    <xf numFmtId="0" fontId="43" fillId="0" borderId="5" xfId="0" applyFont="1" applyBorder="1"/>
    <xf numFmtId="0" fontId="43" fillId="0" borderId="5" xfId="0" applyFont="1" applyBorder="1" applyAlignment="1">
      <alignment horizontal="left"/>
    </xf>
    <xf numFmtId="44" fontId="23" fillId="0" borderId="0" xfId="0" applyNumberFormat="1" applyFont="1"/>
    <xf numFmtId="14" fontId="43" fillId="11" borderId="5" xfId="0" applyNumberFormat="1" applyFont="1" applyFill="1" applyBorder="1"/>
    <xf numFmtId="0" fontId="23" fillId="20" borderId="0" xfId="0" applyFont="1" applyFill="1"/>
    <xf numFmtId="44" fontId="23" fillId="0" borderId="5" xfId="1" applyFont="1" applyFill="1" applyBorder="1"/>
    <xf numFmtId="0" fontId="18" fillId="14" borderId="5" xfId="0" applyFont="1" applyFill="1" applyBorder="1"/>
    <xf numFmtId="44" fontId="23" fillId="20" borderId="0" xfId="1" applyFont="1" applyFill="1" applyBorder="1"/>
    <xf numFmtId="0" fontId="43" fillId="0" borderId="5" xfId="0" applyFont="1" applyBorder="1" applyAlignment="1">
      <alignment horizontal="center"/>
    </xf>
    <xf numFmtId="44" fontId="43" fillId="0" borderId="5" xfId="1" applyFont="1" applyBorder="1"/>
    <xf numFmtId="44" fontId="43" fillId="0" borderId="5" xfId="1" applyFont="1" applyBorder="1" applyAlignment="1">
      <alignment horizontal="center"/>
    </xf>
    <xf numFmtId="0" fontId="46" fillId="0" borderId="5" xfId="0" applyFont="1" applyBorder="1" applyAlignment="1">
      <alignment vertical="center" wrapText="1"/>
    </xf>
    <xf numFmtId="0" fontId="2" fillId="14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4" fontId="0" fillId="8" borderId="5" xfId="1" applyFont="1" applyFill="1" applyBorder="1"/>
    <xf numFmtId="8" fontId="0" fillId="0" borderId="5" xfId="0" applyNumberFormat="1" applyBorder="1"/>
    <xf numFmtId="4" fontId="23" fillId="0" borderId="5" xfId="0" applyNumberFormat="1" applyFont="1" applyBorder="1"/>
    <xf numFmtId="0" fontId="2" fillId="33" borderId="5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5" borderId="5" xfId="0" applyFont="1" applyFill="1" applyBorder="1"/>
    <xf numFmtId="2" fontId="0" fillId="0" borderId="5" xfId="0" applyNumberFormat="1" applyBorder="1" applyAlignment="1">
      <alignment horizontal="center"/>
    </xf>
    <xf numFmtId="0" fontId="2" fillId="8" borderId="5" xfId="0" applyFont="1" applyFill="1" applyBorder="1"/>
    <xf numFmtId="0" fontId="2" fillId="13" borderId="5" xfId="0" applyFon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2" fillId="13" borderId="5" xfId="0" applyFont="1" applyFill="1" applyBorder="1"/>
    <xf numFmtId="0" fontId="2" fillId="33" borderId="5" xfId="0" applyFont="1" applyFill="1" applyBorder="1" applyAlignment="1">
      <alignment horizontal="right"/>
    </xf>
    <xf numFmtId="44" fontId="0" fillId="22" borderId="5" xfId="1" applyFont="1" applyFill="1" applyBorder="1"/>
    <xf numFmtId="0" fontId="2" fillId="22" borderId="5" xfId="0" applyFont="1" applyFill="1" applyBorder="1"/>
    <xf numFmtId="0" fontId="2" fillId="22" borderId="0" xfId="0" applyFont="1" applyFill="1"/>
    <xf numFmtId="0" fontId="2" fillId="0" borderId="5" xfId="0" applyFont="1" applyBorder="1" applyAlignment="1">
      <alignment vertical="center"/>
    </xf>
    <xf numFmtId="0" fontId="2" fillId="14" borderId="4" xfId="0" applyFont="1" applyFill="1" applyBorder="1" applyAlignment="1">
      <alignment horizontal="center"/>
    </xf>
    <xf numFmtId="0" fontId="2" fillId="14" borderId="67" xfId="0" applyFont="1" applyFill="1" applyBorder="1" applyAlignment="1">
      <alignment horizontal="left"/>
    </xf>
    <xf numFmtId="0" fontId="0" fillId="33" borderId="5" xfId="0" applyFill="1" applyBorder="1"/>
    <xf numFmtId="0" fontId="2" fillId="33" borderId="11" xfId="0" applyFont="1" applyFill="1" applyBorder="1" applyAlignment="1">
      <alignment horizontal="left"/>
    </xf>
    <xf numFmtId="0" fontId="0" fillId="20" borderId="5" xfId="0" applyFill="1" applyBorder="1" applyAlignment="1">
      <alignment horizontal="center"/>
    </xf>
    <xf numFmtId="0" fontId="0" fillId="33" borderId="5" xfId="0" applyFill="1" applyBorder="1" applyAlignment="1">
      <alignment horizontal="center"/>
    </xf>
    <xf numFmtId="0" fontId="46" fillId="14" borderId="5" xfId="0" applyFont="1" applyFill="1" applyBorder="1" applyAlignment="1">
      <alignment horizontal="left" vertical="center" wrapText="1"/>
    </xf>
    <xf numFmtId="3" fontId="0" fillId="0" borderId="5" xfId="0" applyNumberFormat="1" applyBorder="1" applyAlignment="1">
      <alignment horizontal="center"/>
    </xf>
    <xf numFmtId="0" fontId="2" fillId="14" borderId="11" xfId="0" applyFont="1" applyFill="1" applyBorder="1" applyAlignment="1">
      <alignment horizontal="right"/>
    </xf>
    <xf numFmtId="0" fontId="2" fillId="14" borderId="25" xfId="0" applyFont="1" applyFill="1" applyBorder="1" applyAlignment="1">
      <alignment horizontal="center"/>
    </xf>
    <xf numFmtId="44" fontId="0" fillId="11" borderId="5" xfId="1" applyFont="1" applyFill="1" applyBorder="1"/>
    <xf numFmtId="44" fontId="0" fillId="20" borderId="5" xfId="1" applyFont="1" applyFill="1" applyBorder="1"/>
    <xf numFmtId="16" fontId="2" fillId="0" borderId="0" xfId="0" applyNumberFormat="1" applyFont="1" applyAlignment="1">
      <alignment horizontal="center"/>
    </xf>
    <xf numFmtId="44" fontId="0" fillId="27" borderId="5" xfId="1" applyFont="1" applyFill="1" applyBorder="1"/>
    <xf numFmtId="0" fontId="2" fillId="14" borderId="29" xfId="0" applyFont="1" applyFill="1" applyBorder="1" applyAlignment="1">
      <alignment horizontal="right"/>
    </xf>
    <xf numFmtId="0" fontId="2" fillId="14" borderId="25" xfId="0" applyFont="1" applyFill="1" applyBorder="1" applyAlignment="1">
      <alignment horizontal="right"/>
    </xf>
    <xf numFmtId="0" fontId="2" fillId="14" borderId="42" xfId="0" applyFont="1" applyFill="1" applyBorder="1" applyAlignment="1">
      <alignment horizontal="center"/>
    </xf>
    <xf numFmtId="0" fontId="2" fillId="14" borderId="43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2" fillId="6" borderId="0" xfId="0" applyFont="1" applyFill="1"/>
    <xf numFmtId="44" fontId="2" fillId="11" borderId="5" xfId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2" fillId="0" borderId="0" xfId="0" applyFont="1"/>
    <xf numFmtId="0" fontId="0" fillId="11" borderId="5" xfId="0" applyFill="1" applyBorder="1" applyAlignment="1">
      <alignment horizontal="right"/>
    </xf>
    <xf numFmtId="0" fontId="32" fillId="0" borderId="5" xfId="0" applyFont="1" applyBorder="1"/>
    <xf numFmtId="44" fontId="3" fillId="16" borderId="15" xfId="1" applyFont="1" applyFill="1" applyBorder="1" applyAlignment="1">
      <alignment horizontal="center"/>
    </xf>
    <xf numFmtId="44" fontId="3" fillId="16" borderId="14" xfId="1" applyFont="1" applyFill="1" applyBorder="1" applyAlignment="1">
      <alignment horizontal="center"/>
    </xf>
    <xf numFmtId="44" fontId="3" fillId="16" borderId="9" xfId="1" applyFont="1" applyFill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48" fillId="0" borderId="5" xfId="0" applyFont="1" applyBorder="1" applyAlignment="1">
      <alignment vertical="center" wrapText="1"/>
    </xf>
    <xf numFmtId="0" fontId="22" fillId="0" borderId="5" xfId="0" applyFont="1" applyBorder="1"/>
    <xf numFmtId="0" fontId="0" fillId="0" borderId="51" xfId="0" applyBorder="1"/>
    <xf numFmtId="0" fontId="50" fillId="11" borderId="5" xfId="0" applyFont="1" applyFill="1" applyBorder="1"/>
    <xf numFmtId="44" fontId="0" fillId="7" borderId="29" xfId="1" applyFont="1" applyFill="1" applyBorder="1"/>
    <xf numFmtId="44" fontId="0" fillId="7" borderId="5" xfId="1" applyFont="1" applyFill="1" applyBorder="1"/>
    <xf numFmtId="44" fontId="0" fillId="20" borderId="29" xfId="1" applyFont="1" applyFill="1" applyBorder="1"/>
    <xf numFmtId="44" fontId="0" fillId="3" borderId="5" xfId="0" applyNumberFormat="1" applyFill="1" applyBorder="1"/>
    <xf numFmtId="44" fontId="1" fillId="0" borderId="5" xfId="1" applyFont="1" applyBorder="1" applyAlignment="1">
      <alignment horizontal="left"/>
    </xf>
    <xf numFmtId="44" fontId="0" fillId="0" borderId="5" xfId="1" applyFont="1" applyBorder="1" applyAlignment="1">
      <alignment horizontal="left"/>
    </xf>
    <xf numFmtId="0" fontId="0" fillId="0" borderId="5" xfId="0" applyBorder="1" applyAlignment="1">
      <alignment wrapText="1"/>
    </xf>
    <xf numFmtId="44" fontId="23" fillId="0" borderId="5" xfId="1" applyFont="1" applyBorder="1" applyAlignment="1">
      <alignment horizontal="center"/>
    </xf>
    <xf numFmtId="0" fontId="3" fillId="11" borderId="5" xfId="0" applyFont="1" applyFill="1" applyBorder="1"/>
    <xf numFmtId="0" fontId="3" fillId="9" borderId="5" xfId="0" applyFont="1" applyFill="1" applyBorder="1" applyAlignment="1">
      <alignment horizontal="center"/>
    </xf>
    <xf numFmtId="0" fontId="34" fillId="0" borderId="5" xfId="0" applyFont="1" applyBorder="1"/>
    <xf numFmtId="0" fontId="34" fillId="0" borderId="5" xfId="0" applyFont="1" applyBorder="1" applyAlignment="1">
      <alignment horizontal="center"/>
    </xf>
    <xf numFmtId="44" fontId="34" fillId="0" borderId="5" xfId="1" applyFont="1" applyBorder="1"/>
    <xf numFmtId="0" fontId="34" fillId="0" borderId="46" xfId="0" applyFont="1" applyBorder="1"/>
    <xf numFmtId="0" fontId="34" fillId="0" borderId="46" xfId="0" applyFont="1" applyBorder="1" applyAlignment="1">
      <alignment horizontal="center"/>
    </xf>
    <xf numFmtId="44" fontId="34" fillId="0" borderId="5" xfId="1" applyFont="1" applyFill="1" applyBorder="1"/>
    <xf numFmtId="44" fontId="34" fillId="0" borderId="5" xfId="0" applyNumberFormat="1" applyFont="1" applyBorder="1"/>
    <xf numFmtId="44" fontId="2" fillId="11" borderId="5" xfId="1" applyFont="1" applyFill="1" applyBorder="1"/>
    <xf numFmtId="0" fontId="3" fillId="33" borderId="5" xfId="0" applyFont="1" applyFill="1" applyBorder="1" applyAlignment="1">
      <alignment horizontal="center"/>
    </xf>
    <xf numFmtId="44" fontId="3" fillId="16" borderId="15" xfId="1" applyFont="1" applyFill="1" applyBorder="1" applyAlignment="1">
      <alignment horizontal="center"/>
    </xf>
    <xf numFmtId="44" fontId="3" fillId="16" borderId="14" xfId="1" applyFont="1" applyFill="1" applyBorder="1" applyAlignment="1">
      <alignment horizontal="center"/>
    </xf>
    <xf numFmtId="44" fontId="3" fillId="16" borderId="9" xfId="1" applyFont="1" applyFill="1" applyBorder="1" applyAlignment="1">
      <alignment horizontal="center"/>
    </xf>
    <xf numFmtId="0" fontId="2" fillId="11" borderId="29" xfId="0" applyFont="1" applyFill="1" applyBorder="1" applyAlignment="1">
      <alignment horizontal="right"/>
    </xf>
    <xf numFmtId="0" fontId="2" fillId="11" borderId="25" xfId="0" applyFont="1" applyFill="1" applyBorder="1" applyAlignment="1">
      <alignment horizontal="right"/>
    </xf>
    <xf numFmtId="44" fontId="1" fillId="0" borderId="29" xfId="1" applyFont="1" applyBorder="1" applyAlignment="1">
      <alignment horizontal="center" vertical="center"/>
    </xf>
    <xf numFmtId="44" fontId="1" fillId="0" borderId="25" xfId="1" applyFont="1" applyBorder="1" applyAlignment="1">
      <alignment horizontal="center" vertical="center"/>
    </xf>
    <xf numFmtId="0" fontId="0" fillId="11" borderId="29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1" borderId="56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4" borderId="56" xfId="0" applyFont="1" applyFill="1" applyBorder="1" applyAlignment="1">
      <alignment horizontal="center"/>
    </xf>
    <xf numFmtId="0" fontId="2" fillId="14" borderId="60" xfId="0" applyFont="1" applyFill="1" applyBorder="1" applyAlignment="1">
      <alignment horizontal="center"/>
    </xf>
    <xf numFmtId="0" fontId="35" fillId="36" borderId="1" xfId="0" applyFont="1" applyFill="1" applyBorder="1" applyAlignment="1">
      <alignment horizontal="center" vertical="center"/>
    </xf>
    <xf numFmtId="0" fontId="35" fillId="36" borderId="2" xfId="0" applyFont="1" applyFill="1" applyBorder="1" applyAlignment="1">
      <alignment horizontal="center" vertical="center"/>
    </xf>
    <xf numFmtId="0" fontId="35" fillId="36" borderId="3" xfId="0" applyFont="1" applyFill="1" applyBorder="1" applyAlignment="1">
      <alignment horizontal="center" vertical="center"/>
    </xf>
    <xf numFmtId="0" fontId="35" fillId="36" borderId="39" xfId="0" applyFont="1" applyFill="1" applyBorder="1" applyAlignment="1">
      <alignment horizontal="center" vertical="center"/>
    </xf>
    <xf numFmtId="0" fontId="35" fillId="36" borderId="0" xfId="0" applyFont="1" applyFill="1" applyAlignment="1">
      <alignment horizontal="center" vertical="center"/>
    </xf>
    <xf numFmtId="0" fontId="35" fillId="36" borderId="40" xfId="0" applyFont="1" applyFill="1" applyBorder="1" applyAlignment="1">
      <alignment horizontal="center" vertical="center"/>
    </xf>
    <xf numFmtId="0" fontId="35" fillId="36" borderId="30" xfId="0" applyFont="1" applyFill="1" applyBorder="1" applyAlignment="1">
      <alignment horizontal="center" vertical="center"/>
    </xf>
    <xf numFmtId="0" fontId="35" fillId="36" borderId="31" xfId="0" applyFont="1" applyFill="1" applyBorder="1" applyAlignment="1">
      <alignment horizontal="center" vertical="center"/>
    </xf>
    <xf numFmtId="0" fontId="35" fillId="36" borderId="32" xfId="0" applyFont="1" applyFill="1" applyBorder="1" applyAlignment="1">
      <alignment horizontal="center" vertical="center"/>
    </xf>
    <xf numFmtId="44" fontId="0" fillId="11" borderId="5" xfId="1" applyFont="1" applyFill="1" applyBorder="1" applyAlignment="1">
      <alignment horizontal="right"/>
    </xf>
    <xf numFmtId="4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18" borderId="46" xfId="0" applyFont="1" applyFill="1" applyBorder="1" applyAlignment="1">
      <alignment horizontal="center"/>
    </xf>
    <xf numFmtId="0" fontId="2" fillId="18" borderId="13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right"/>
    </xf>
    <xf numFmtId="44" fontId="0" fillId="0" borderId="46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46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20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2" fillId="0" borderId="29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2" fillId="11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center" wrapText="1"/>
    </xf>
    <xf numFmtId="44" fontId="0" fillId="0" borderId="29" xfId="1" applyFont="1" applyBorder="1" applyAlignment="1">
      <alignment horizontal="center"/>
    </xf>
    <xf numFmtId="44" fontId="0" fillId="0" borderId="37" xfId="1" applyFont="1" applyBorder="1" applyAlignment="1">
      <alignment horizontal="center"/>
    </xf>
    <xf numFmtId="44" fontId="0" fillId="0" borderId="25" xfId="1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2" fillId="14" borderId="5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9" borderId="5" xfId="0" applyFont="1" applyFill="1" applyBorder="1" applyAlignment="1">
      <alignment horizontal="right"/>
    </xf>
    <xf numFmtId="0" fontId="2" fillId="11" borderId="5" xfId="0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41" xfId="0" applyFont="1" applyFill="1" applyBorder="1" applyAlignment="1">
      <alignment horizontal="center"/>
    </xf>
    <xf numFmtId="0" fontId="2" fillId="14" borderId="50" xfId="0" applyFont="1" applyFill="1" applyBorder="1" applyAlignment="1">
      <alignment horizontal="center"/>
    </xf>
    <xf numFmtId="44" fontId="2" fillId="14" borderId="5" xfId="1" applyFont="1" applyFill="1" applyBorder="1" applyAlignment="1">
      <alignment horizontal="right"/>
    </xf>
    <xf numFmtId="0" fontId="2" fillId="14" borderId="12" xfId="0" applyFont="1" applyFill="1" applyBorder="1" applyAlignment="1">
      <alignment horizontal="center"/>
    </xf>
    <xf numFmtId="0" fontId="35" fillId="15" borderId="1" xfId="0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0" fontId="35" fillId="15" borderId="3" xfId="0" applyFont="1" applyFill="1" applyBorder="1" applyAlignment="1">
      <alignment horizontal="center" vertical="center"/>
    </xf>
    <xf numFmtId="0" fontId="35" fillId="15" borderId="30" xfId="0" applyFont="1" applyFill="1" applyBorder="1" applyAlignment="1">
      <alignment horizontal="center" vertical="center"/>
    </xf>
    <xf numFmtId="0" fontId="35" fillId="15" borderId="31" xfId="0" applyFont="1" applyFill="1" applyBorder="1" applyAlignment="1">
      <alignment horizontal="center" vertical="center"/>
    </xf>
    <xf numFmtId="0" fontId="35" fillId="15" borderId="32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 wrapText="1"/>
    </xf>
    <xf numFmtId="44" fontId="2" fillId="0" borderId="5" xfId="1" applyFont="1" applyBorder="1" applyAlignment="1">
      <alignment horizontal="center"/>
    </xf>
    <xf numFmtId="0" fontId="2" fillId="11" borderId="46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16" borderId="5" xfId="0" applyFont="1" applyFill="1" applyBorder="1" applyAlignment="1">
      <alignment horizontal="center" vertical="center"/>
    </xf>
    <xf numFmtId="0" fontId="2" fillId="16" borderId="29" xfId="0" applyFont="1" applyFill="1" applyBorder="1" applyAlignment="1">
      <alignment horizontal="right"/>
    </xf>
    <xf numFmtId="0" fontId="2" fillId="16" borderId="25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26" borderId="39" xfId="0" applyFont="1" applyFill="1" applyBorder="1" applyAlignment="1">
      <alignment horizontal="center"/>
    </xf>
    <xf numFmtId="0" fontId="2" fillId="26" borderId="40" xfId="0" applyFont="1" applyFill="1" applyBorder="1" applyAlignment="1">
      <alignment horizontal="center"/>
    </xf>
    <xf numFmtId="0" fontId="2" fillId="16" borderId="29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26" borderId="29" xfId="0" applyFont="1" applyFill="1" applyBorder="1" applyAlignment="1">
      <alignment horizontal="center"/>
    </xf>
    <xf numFmtId="0" fontId="2" fillId="26" borderId="25" xfId="0" applyFont="1" applyFill="1" applyBorder="1" applyAlignment="1">
      <alignment horizontal="center"/>
    </xf>
    <xf numFmtId="14" fontId="2" fillId="16" borderId="5" xfId="0" applyNumberFormat="1" applyFont="1" applyFill="1" applyBorder="1" applyAlignment="1">
      <alignment horizontal="center" vertical="center"/>
    </xf>
    <xf numFmtId="0" fontId="2" fillId="29" borderId="5" xfId="0" applyFont="1" applyFill="1" applyBorder="1" applyAlignment="1">
      <alignment horizontal="right"/>
    </xf>
    <xf numFmtId="44" fontId="0" fillId="0" borderId="5" xfId="1" applyFont="1" applyBorder="1" applyAlignment="1"/>
    <xf numFmtId="14" fontId="2" fillId="0" borderId="0" xfId="0" applyNumberFormat="1" applyFont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29" borderId="29" xfId="0" applyFont="1" applyFill="1" applyBorder="1" applyAlignment="1">
      <alignment horizontal="right"/>
    </xf>
    <xf numFmtId="0" fontId="2" fillId="29" borderId="25" xfId="0" applyFont="1" applyFill="1" applyBorder="1" applyAlignment="1">
      <alignment horizontal="right"/>
    </xf>
    <xf numFmtId="0" fontId="2" fillId="0" borderId="2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4" fontId="0" fillId="0" borderId="0" xfId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44" fontId="0" fillId="31" borderId="5" xfId="1" applyFont="1" applyFill="1" applyBorder="1" applyAlignment="1">
      <alignment horizontal="center" vertical="center"/>
    </xf>
    <xf numFmtId="0" fontId="0" fillId="31" borderId="2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44" fontId="0" fillId="14" borderId="5" xfId="1" applyFont="1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34" fillId="25" borderId="15" xfId="0" applyFont="1" applyFill="1" applyBorder="1" applyAlignment="1">
      <alignment horizontal="center"/>
    </xf>
    <xf numFmtId="0" fontId="34" fillId="25" borderId="14" xfId="0" applyFont="1" applyFill="1" applyBorder="1" applyAlignment="1">
      <alignment horizontal="center"/>
    </xf>
    <xf numFmtId="0" fontId="34" fillId="25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16" borderId="55" xfId="0" applyFont="1" applyFill="1" applyBorder="1" applyAlignment="1">
      <alignment horizontal="right"/>
    </xf>
    <xf numFmtId="0" fontId="2" fillId="16" borderId="26" xfId="0" applyFont="1" applyFill="1" applyBorder="1" applyAlignment="1">
      <alignment horizontal="right"/>
    </xf>
    <xf numFmtId="0" fontId="29" fillId="25" borderId="31" xfId="0" applyFont="1" applyFill="1" applyBorder="1" applyAlignment="1">
      <alignment horizontal="center"/>
    </xf>
    <xf numFmtId="0" fontId="2" fillId="14" borderId="5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44" fontId="0" fillId="0" borderId="46" xfId="1" applyFont="1" applyFill="1" applyBorder="1" applyAlignment="1">
      <alignment horizontal="center" vertical="center"/>
    </xf>
    <xf numFmtId="44" fontId="0" fillId="0" borderId="13" xfId="1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right"/>
    </xf>
    <xf numFmtId="0" fontId="2" fillId="21" borderId="30" xfId="0" applyFont="1" applyFill="1" applyBorder="1" applyAlignment="1">
      <alignment horizontal="center"/>
    </xf>
    <xf numFmtId="0" fontId="2" fillId="21" borderId="3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30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wrapText="1"/>
    </xf>
    <xf numFmtId="44" fontId="0" fillId="0" borderId="5" xfId="1" applyFont="1" applyBorder="1" applyAlignment="1">
      <alignment horizontal="right"/>
    </xf>
    <xf numFmtId="0" fontId="2" fillId="21" borderId="1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44" fontId="2" fillId="33" borderId="5" xfId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6" borderId="53" xfId="0" applyFont="1" applyFill="1" applyBorder="1" applyAlignment="1">
      <alignment horizontal="center" vertical="center"/>
    </xf>
    <xf numFmtId="0" fontId="2" fillId="16" borderId="54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/>
    </xf>
    <xf numFmtId="0" fontId="2" fillId="24" borderId="5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vertical="center" wrapText="1"/>
    </xf>
    <xf numFmtId="44" fontId="2" fillId="24" borderId="5" xfId="1" applyFont="1" applyFill="1" applyBorder="1" applyAlignment="1">
      <alignment horizontal="center"/>
    </xf>
    <xf numFmtId="0" fontId="2" fillId="14" borderId="29" xfId="0" applyFont="1" applyFill="1" applyBorder="1" applyAlignment="1">
      <alignment horizontal="right"/>
    </xf>
    <xf numFmtId="0" fontId="2" fillId="14" borderId="25" xfId="0" applyFont="1" applyFill="1" applyBorder="1" applyAlignment="1">
      <alignment horizontal="right"/>
    </xf>
    <xf numFmtId="44" fontId="2" fillId="12" borderId="0" xfId="1" applyFont="1" applyFill="1" applyAlignment="1">
      <alignment horizontal="center" vertical="center"/>
    </xf>
    <xf numFmtId="0" fontId="2" fillId="14" borderId="5" xfId="0" applyFont="1" applyFill="1" applyBorder="1" applyAlignment="1">
      <alignment horizontal="center"/>
    </xf>
    <xf numFmtId="0" fontId="0" fillId="14" borderId="5" xfId="0" applyFill="1" applyBorder="1" applyAlignment="1">
      <alignment horizontal="right"/>
    </xf>
    <xf numFmtId="0" fontId="0" fillId="11" borderId="5" xfId="0" applyFill="1" applyBorder="1" applyAlignment="1">
      <alignment horizontal="right"/>
    </xf>
    <xf numFmtId="0" fontId="2" fillId="11" borderId="29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47" fillId="35" borderId="0" xfId="0" applyFont="1" applyFill="1" applyAlignment="1">
      <alignment horizontal="center" vertical="center"/>
    </xf>
    <xf numFmtId="0" fontId="43" fillId="0" borderId="5" xfId="0" applyFont="1" applyBorder="1" applyAlignment="1">
      <alignment horizontal="right"/>
    </xf>
    <xf numFmtId="44" fontId="2" fillId="34" borderId="5" xfId="1" applyFont="1" applyFill="1" applyBorder="1" applyAlignment="1">
      <alignment horizontal="right"/>
    </xf>
    <xf numFmtId="0" fontId="2" fillId="14" borderId="29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  <xf numFmtId="44" fontId="0" fillId="0" borderId="11" xfId="1" applyFont="1" applyBorder="1" applyAlignment="1">
      <alignment horizontal="center" vertical="center"/>
    </xf>
    <xf numFmtId="0" fontId="0" fillId="6" borderId="0" xfId="0" applyFill="1" applyAlignment="1">
      <alignment horizontal="center" textRotation="45"/>
    </xf>
    <xf numFmtId="0" fontId="2" fillId="33" borderId="5" xfId="0" applyFont="1" applyFill="1" applyBorder="1" applyAlignment="1">
      <alignment horizontal="right"/>
    </xf>
    <xf numFmtId="44" fontId="34" fillId="0" borderId="46" xfId="1" applyFont="1" applyBorder="1" applyAlignment="1">
      <alignment horizontal="center"/>
    </xf>
    <xf numFmtId="44" fontId="34" fillId="0" borderId="13" xfId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4" fillId="11" borderId="29" xfId="0" applyFont="1" applyFill="1" applyBorder="1" applyAlignment="1">
      <alignment horizontal="right"/>
    </xf>
    <xf numFmtId="0" fontId="34" fillId="11" borderId="25" xfId="0" applyFont="1" applyFill="1" applyBorder="1" applyAlignment="1">
      <alignment horizontal="right"/>
    </xf>
    <xf numFmtId="0" fontId="0" fillId="11" borderId="37" xfId="0" applyFill="1" applyBorder="1" applyAlignment="1">
      <alignment horizontal="right"/>
    </xf>
    <xf numFmtId="0" fontId="0" fillId="11" borderId="25" xfId="0" applyFill="1" applyBorder="1" applyAlignment="1">
      <alignment horizontal="right"/>
    </xf>
    <xf numFmtId="0" fontId="35" fillId="20" borderId="1" xfId="0" applyFont="1" applyFill="1" applyBorder="1" applyAlignment="1">
      <alignment horizontal="center" vertical="center"/>
    </xf>
    <xf numFmtId="0" fontId="35" fillId="20" borderId="2" xfId="0" applyFont="1" applyFill="1" applyBorder="1" applyAlignment="1">
      <alignment horizontal="center" vertical="center"/>
    </xf>
    <xf numFmtId="0" fontId="35" fillId="20" borderId="3" xfId="0" applyFont="1" applyFill="1" applyBorder="1" applyAlignment="1">
      <alignment horizontal="center" vertical="center"/>
    </xf>
    <xf numFmtId="0" fontId="35" fillId="20" borderId="30" xfId="0" applyFont="1" applyFill="1" applyBorder="1" applyAlignment="1">
      <alignment horizontal="center" vertical="center"/>
    </xf>
    <xf numFmtId="0" fontId="35" fillId="20" borderId="31" xfId="0" applyFont="1" applyFill="1" applyBorder="1" applyAlignment="1">
      <alignment horizontal="center" vertical="center"/>
    </xf>
    <xf numFmtId="0" fontId="35" fillId="20" borderId="32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/>
    </xf>
    <xf numFmtId="0" fontId="33" fillId="28" borderId="2" xfId="0" applyFont="1" applyFill="1" applyBorder="1" applyAlignment="1">
      <alignment horizontal="center"/>
    </xf>
    <xf numFmtId="0" fontId="33" fillId="28" borderId="3" xfId="0" applyFont="1" applyFill="1" applyBorder="1" applyAlignment="1">
      <alignment horizontal="center"/>
    </xf>
    <xf numFmtId="14" fontId="2" fillId="14" borderId="46" xfId="0" applyNumberFormat="1" applyFont="1" applyFill="1" applyBorder="1" applyAlignment="1">
      <alignment horizontal="left"/>
    </xf>
    <xf numFmtId="14" fontId="2" fillId="14" borderId="13" xfId="0" applyNumberFormat="1" applyFont="1" applyFill="1" applyBorder="1" applyAlignment="1">
      <alignment horizontal="left"/>
    </xf>
    <xf numFmtId="0" fontId="2" fillId="14" borderId="46" xfId="0" applyFont="1" applyFill="1" applyBorder="1" applyAlignment="1">
      <alignment horizontal="center"/>
    </xf>
    <xf numFmtId="0" fontId="2" fillId="14" borderId="13" xfId="0" applyFont="1" applyFill="1" applyBorder="1" applyAlignment="1">
      <alignment horizontal="center"/>
    </xf>
    <xf numFmtId="164" fontId="2" fillId="14" borderId="5" xfId="0" applyNumberFormat="1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11" borderId="15" xfId="0" applyFill="1" applyBorder="1" applyAlignment="1">
      <alignment horizontal="right"/>
    </xf>
    <xf numFmtId="0" fontId="0" fillId="11" borderId="9" xfId="0" applyFill="1" applyBorder="1" applyAlignment="1">
      <alignment horizontal="right"/>
    </xf>
    <xf numFmtId="0" fontId="2" fillId="14" borderId="51" xfId="0" applyFont="1" applyFill="1" applyBorder="1" applyAlignment="1">
      <alignment horizontal="right"/>
    </xf>
    <xf numFmtId="0" fontId="2" fillId="14" borderId="64" xfId="0" applyFont="1" applyFill="1" applyBorder="1" applyAlignment="1">
      <alignment horizontal="right"/>
    </xf>
    <xf numFmtId="164" fontId="2" fillId="11" borderId="47" xfId="0" applyNumberFormat="1" applyFont="1" applyFill="1" applyBorder="1" applyAlignment="1">
      <alignment horizontal="center"/>
    </xf>
    <xf numFmtId="164" fontId="2" fillId="11" borderId="48" xfId="0" applyNumberFormat="1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1" borderId="30" xfId="0" applyNumberFormat="1" applyFont="1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/>
    </xf>
    <xf numFmtId="0" fontId="3" fillId="18" borderId="14" xfId="0" applyFont="1" applyFill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2" fillId="12" borderId="33" xfId="0" applyFont="1" applyFill="1" applyBorder="1" applyAlignment="1">
      <alignment horizontal="left"/>
    </xf>
    <xf numFmtId="0" fontId="2" fillId="12" borderId="34" xfId="0" applyFont="1" applyFill="1" applyBorder="1" applyAlignment="1">
      <alignment horizontal="left"/>
    </xf>
    <xf numFmtId="0" fontId="2" fillId="12" borderId="35" xfId="0" applyFont="1" applyFill="1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44" fontId="0" fillId="0" borderId="0" xfId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0" fillId="14" borderId="30" xfId="0" applyNumberFormat="1" applyFill="1" applyBorder="1" applyAlignment="1">
      <alignment horizontal="center"/>
    </xf>
    <xf numFmtId="164" fontId="0" fillId="14" borderId="31" xfId="0" applyNumberForma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15" borderId="5" xfId="0" applyFill="1" applyBorder="1" applyAlignment="1">
      <alignment horizontal="center"/>
    </xf>
    <xf numFmtId="0" fontId="2" fillId="14" borderId="27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14" borderId="28" xfId="0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3" borderId="0" xfId="0" applyFont="1" applyFill="1" applyAlignment="1">
      <alignment horizontal="center"/>
    </xf>
    <xf numFmtId="14" fontId="2" fillId="33" borderId="0" xfId="0" applyNumberFormat="1" applyFont="1" applyFill="1" applyAlignment="1">
      <alignment horizontal="left"/>
    </xf>
    <xf numFmtId="0" fontId="0" fillId="0" borderId="5" xfId="0" applyFill="1" applyBorder="1" applyAlignment="1">
      <alignment horizontal="right"/>
    </xf>
    <xf numFmtId="0" fontId="0" fillId="0" borderId="5" xfId="0" applyFill="1" applyBorder="1"/>
  </cellXfs>
  <cellStyles count="5">
    <cellStyle name="Hiperlink" xfId="3" builtinId="8"/>
    <cellStyle name="Moeda" xfId="1" builtinId="4"/>
    <cellStyle name="Normal" xfId="0" builtinId="0"/>
    <cellStyle name="Normal 2" xfId="2" xr:uid="{A75F9EAC-ADDC-48BD-91EB-83DDCD39A0A6}"/>
    <cellStyle name="Normal 3" xfId="4" xr:uid="{CFED69E6-F086-48F1-B23A-BA46C3AEB36E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167640</xdr:rowOff>
    </xdr:from>
    <xdr:to>
      <xdr:col>2</xdr:col>
      <xdr:colOff>76200</xdr:colOff>
      <xdr:row>6</xdr:row>
      <xdr:rowOff>24669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DC5E45-ED6F-4E08-84F2-1993D14B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77700"/>
          <a:ext cx="5227320" cy="7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167640</xdr:rowOff>
    </xdr:from>
    <xdr:to>
      <xdr:col>2</xdr:col>
      <xdr:colOff>22860</xdr:colOff>
      <xdr:row>68</xdr:row>
      <xdr:rowOff>24669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F87447-B205-C943-29C7-E0EA461C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94820"/>
          <a:ext cx="5227320" cy="7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96</xdr:row>
      <xdr:rowOff>0</xdr:rowOff>
    </xdr:from>
    <xdr:to>
      <xdr:col>1</xdr:col>
      <xdr:colOff>1264920</xdr:colOff>
      <xdr:row>110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1E89941-8E72-2076-FAD5-E0E786C3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8219420"/>
          <a:ext cx="4594859" cy="26898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NASFALTO TAPFÁCIL" id="{A9366248-702A-4218-A9F3-5287C8798FC1}" userId="9b1f88bbc9f1852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6-01-06T18:14:43.36" personId="{A9366248-702A-4218-A9F3-5287C8798FC1}" id="{B5230A97-84CB-4F8C-89E6-F1CBDFA81723}">
    <text>Não irá comprar, Joca pediu pra fazer uma cruzeta em 7Lagoas pra colocar no lugar</text>
  </threadedComment>
  <threadedComment ref="D19" dT="2026-01-06T18:14:14.95" personId="{A9366248-702A-4218-A9F3-5287C8798FC1}" id="{C8CEF305-7AC6-4766-A678-C9E7B9B05817}">
    <text>Não irá comprar, Joca pediu pra fazer uma cruzeta em 7Lagoas pra colocar no lugar</text>
  </threadedComment>
  <threadedComment ref="B43" dT="2026-01-09T20:04:45.59" personId="{A9366248-702A-4218-A9F3-5287C8798FC1}" id="{8CF1E09A-5CC7-4A12-8B24-09B5108367E7}">
    <text xml:space="preserve">NAKATA
</text>
  </threadedComment>
  <threadedComment ref="D43" dT="2026-01-09T20:04:33.30" personId="{A9366248-702A-4218-A9F3-5287C8798FC1}" id="{86AB6E9D-4F74-42BD-94FA-671DC5557F05}">
    <text>NAKATA</text>
  </threadedComment>
  <threadedComment ref="F45" dT="2026-01-09T19:51:55.33" personId="{A9366248-702A-4218-A9F3-5287C8798FC1}" id="{A5FB9252-B333-4B30-A0FA-9F64B8901F69}">
    <text>ORIGINAL MOPAR</text>
  </threadedComment>
  <threadedComment ref="B87" dT="2026-01-26T14:37:10.99" personId="{A9366248-702A-4218-A9F3-5287C8798FC1}" id="{A513AEFD-E37A-4976-A58E-04B18DCACDF1}">
    <text>17 98123-6962</text>
  </threadedComment>
  <threadedComment ref="C87" dT="2026-01-26T14:26:09.57" personId="{A9366248-702A-4218-A9F3-5287C8798FC1}" id="{B3A96129-8584-4089-90FA-8CFA5D331CFB}">
    <text>3199123-6727</text>
  </threadedComment>
  <threadedComment ref="D87" dT="2026-01-26T14:25:26.35" personId="{A9366248-702A-4218-A9F3-5287C8798FC1}" id="{952E5490-D4B5-4E83-8C8B-083476DD3F35}">
    <text>31998985552</text>
  </threadedComment>
  <threadedComment ref="E87" dT="2026-01-26T14:24:12.01" personId="{A9366248-702A-4218-A9F3-5287C8798FC1}" id="{848D10E7-83AE-4F2D-AF3B-630B93DA4A57}">
    <text>31 98417-7930</text>
  </threadedComment>
  <threadedComment ref="F87" dT="2026-01-26T14:23:47.91" personId="{A9366248-702A-4218-A9F3-5287C8798FC1}" id="{E2403698-DA16-4ECC-9428-7872E54A5C10}">
    <text>3199777-2111</text>
  </threadedComment>
  <threadedComment ref="F174" dT="2026-01-28T20:37:33.87" personId="{A9366248-702A-4218-A9F3-5287C8798FC1}" id="{3CBA5164-9ACE-44C3-821D-50AC9E761663}">
    <text>10W30</text>
  </threadedComment>
  <threadedComment ref="D580" dT="2026-03-17T12:49:59.51" personId="{A9366248-702A-4218-A9F3-5287C8798FC1}" id="{BD6606AB-495C-45FB-8478-00F27C204A38}">
    <text>REPSOL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6" dT="2025-12-05T16:14:44.94" personId="{A9366248-702A-4218-A9F3-5287C8798FC1}" id="{B0FF8982-7FA3-4195-A283-15CE229E0B95}">
    <text>316,90 UN</text>
  </threadedComment>
  <threadedComment ref="C37" dT="2025-12-05T20:43:44.25" personId="{A9366248-702A-4218-A9F3-5287C8798FC1}" id="{81364A16-B1F6-4421-A1E4-C05E5C3539F6}">
    <text>289,90 1 UNI PROMOÇÃO</text>
  </threadedComment>
  <threadedComment ref="A55" dT="2025-12-30T13:18:14.54" personId="{A9366248-702A-4218-A9F3-5287C8798FC1}" id="{6AA7FD30-D550-42BF-B34D-EC172B6797CF}">
    <text>NÃO USOU</text>
  </threadedComment>
  <threadedComment ref="A57" dT="2025-12-30T13:18:33.48" personId="{A9366248-702A-4218-A9F3-5287C8798FC1}" id="{9B946122-1CFD-40DE-8CF7-7E9363C02624}">
    <text>NÃO USOU</text>
  </threadedComment>
  <threadedComment ref="A58" dT="2025-12-30T13:18:42.14" personId="{A9366248-702A-4218-A9F3-5287C8798FC1}" id="{7FE48D86-D074-4DE0-9A37-3945258CA039}">
    <text>NÃO USOU</text>
  </threadedComment>
  <threadedComment ref="F127" dT="2026-01-28T20:37:33.87" personId="{A9366248-702A-4218-A9F3-5287C8798FC1}" id="{DCA9A341-34E3-4D5B-8F19-88E105600E9B}">
    <text>10W30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3" dT="2025-11-21T13:13:09.75" personId="{A9366248-702A-4218-A9F3-5287C8798FC1}" id="{329048F0-FB12-47AD-8802-A01A544F40B0}">
    <text xml:space="preserve">SO CORREIA </text>
  </threadedComment>
  <threadedComment ref="E13" dT="2025-11-21T13:13:25.44" personId="{A9366248-702A-4218-A9F3-5287C8798FC1}" id="{73DFE953-1131-443E-90A7-E91B16A32E58}">
    <text>SO CASTILHOS</text>
  </threadedComment>
  <threadedComment ref="F13" dT="2025-11-21T13:14:16.30" personId="{A9366248-702A-4218-A9F3-5287C8798FC1}" id="{1F87F0BB-8A28-4F21-A565-B898EB3EF000}">
    <text xml:space="preserve">PEDIDO COMPLETO
</text>
  </threadedComment>
  <threadedComment ref="A24" dT="2026-01-06T18:14:43.36" personId="{A9366248-702A-4218-A9F3-5287C8798FC1}" id="{739753A6-CB66-420C-9695-1EAC2648D7AB}">
    <text>Não irá comprar, Joca pediu pra fazer uma cruzeta em 7Lagoas pra colocar no lugar</text>
  </threadedComment>
  <threadedComment ref="D26" dT="2026-01-06T18:14:14.95" personId="{A9366248-702A-4218-A9F3-5287C8798FC1}" id="{A4A45BB9-6F48-4463-A88B-06005A6AED2D}">
    <text>Não irá comprar, Joca pediu pra fazer uma cruzeta em 7Lagoas pra colocar no lugar</text>
  </threadedComment>
  <threadedComment ref="B35" dT="2026-01-09T20:04:45.59" personId="{A9366248-702A-4218-A9F3-5287C8798FC1}" id="{F54CE693-1C5E-4B96-B30B-8CB69D2ED7CB}">
    <text xml:space="preserve">NAKATA
</text>
  </threadedComment>
  <threadedComment ref="D35" dT="2026-01-09T20:04:33.30" personId="{A9366248-702A-4218-A9F3-5287C8798FC1}" id="{F42A44BE-662E-4275-82C0-734CEB053D35}">
    <text>NAKATA</text>
  </threadedComment>
  <threadedComment ref="F37" dT="2026-01-09T19:51:55.33" personId="{A9366248-702A-4218-A9F3-5287C8798FC1}" id="{AA1CFED6-5D40-4FA6-B664-9B1BB774FE10}">
    <text>ORIGINAL MOPAR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8" dT="2025-11-19T18:18:15.85" personId="{A9366248-702A-4218-A9F3-5287C8798FC1}" id="{D6BDEEFF-9AFD-46F6-9876-C5C194582048}">
    <text>TUBO C 6mts</text>
  </threadedComment>
  <threadedComment ref="D28" dT="2025-11-19T18:24:48.65" personId="{A9366248-702A-4218-A9F3-5287C8798FC1}" id="{50EC8681-7250-403B-A4E6-684D934F5B05}">
    <text>2 mts</text>
  </threadedComment>
  <threadedComment ref="E28" dT="2025-11-19T19:44:35.68" personId="{A9366248-702A-4218-A9F3-5287C8798FC1}" id="{5BAF0F15-79CB-427B-9E0F-F6D7091042B6}">
    <text>Tubo 6mts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2" dT="2025-11-17T19:59:52.07" personId="{A9366248-702A-4218-A9F3-5287C8798FC1}" id="{8BCA743D-085C-4604-8AB7-C7A0B6FE9843}">
    <text>4 TAMPAS
6 SAIDAS</text>
  </threadedComment>
  <threadedComment ref="B15" dT="2025-11-17T19:59:07.06" personId="{A9366248-702A-4218-A9F3-5287C8798FC1}" id="{479FA54A-2994-4F81-B59A-D4DE3E21D91D}">
    <text xml:space="preserve">NÃO VAI COBRAS AS TAMPAS E SAIDAS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google.com/search?q=elmaz&amp;oq=elmaz&amp;gs_lcrp=EgZjaHJvbWUqDQgAEAAY4wIYsQMYgAQyDQgAEAAY4wIYsQMYgAQyEwgBEC4YrwEYxwEYsQMYgAQYjgUyBwgCEAAYgAQyBwgDEAAYgAQyBwgEEAAYgAQyBwgFEAAYgAQyBwgGEAAYgAQyBwgHEAAYgAQyBwgIEAAYgAQyBwgJEAAYgATSAQgzMTc1ajBqN6gCCLACAfEFXngAUukOHgM&amp;sourceid=chrome&amp;ie=UTF-8" TargetMode="External"/><Relationship Id="rId1" Type="http://schemas.openxmlformats.org/officeDocument/2006/relationships/hyperlink" Target="tel:3132982000" TargetMode="External"/><Relationship Id="rId4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C442-B847-40BF-B02F-A931DD3B28B2}">
  <dimension ref="A1:N2536"/>
  <sheetViews>
    <sheetView tabSelected="1" topLeftCell="A2516" zoomScaleNormal="100" workbookViewId="0">
      <selection activeCell="C2537" sqref="C2537"/>
    </sheetView>
  </sheetViews>
  <sheetFormatPr defaultRowHeight="14.4"/>
  <cols>
    <col min="1" max="1" width="62" customWidth="1"/>
    <col min="2" max="2" width="25.33203125" customWidth="1"/>
    <col min="3" max="3" width="21" customWidth="1"/>
    <col min="4" max="4" width="21.88671875" customWidth="1"/>
    <col min="5" max="5" width="21.21875" customWidth="1"/>
    <col min="6" max="6" width="16.88671875" customWidth="1"/>
    <col min="7" max="7" width="15.5546875" customWidth="1"/>
    <col min="8" max="8" width="11.77734375" customWidth="1"/>
    <col min="9" max="9" width="16.109375" bestFit="1" customWidth="1"/>
    <col min="10" max="10" width="15.5546875" bestFit="1" customWidth="1"/>
    <col min="11" max="11" width="10.6640625" customWidth="1"/>
    <col min="12" max="12" width="12.88671875" customWidth="1"/>
    <col min="13" max="13" width="25.109375" customWidth="1"/>
    <col min="14" max="14" width="13.88671875" bestFit="1" customWidth="1"/>
  </cols>
  <sheetData>
    <row r="1" spans="1:5" ht="18.600000000000001" thickBot="1">
      <c r="A1" s="862" t="s">
        <v>509</v>
      </c>
      <c r="B1" s="862"/>
      <c r="C1" s="862"/>
      <c r="D1" s="862"/>
    </row>
    <row r="2" spans="1:5" ht="15" thickBot="1">
      <c r="A2" s="234" t="s">
        <v>497</v>
      </c>
      <c r="B2" s="235" t="s">
        <v>319</v>
      </c>
      <c r="C2" s="235" t="s">
        <v>496</v>
      </c>
      <c r="D2" s="236" t="s">
        <v>55</v>
      </c>
    </row>
    <row r="3" spans="1:5">
      <c r="A3" t="s">
        <v>503</v>
      </c>
      <c r="B3" t="s">
        <v>269</v>
      </c>
      <c r="C3" s="232" t="s">
        <v>502</v>
      </c>
      <c r="D3" s="233">
        <v>768</v>
      </c>
    </row>
    <row r="4" spans="1:5" ht="14.4" customHeight="1">
      <c r="A4" t="s">
        <v>500</v>
      </c>
      <c r="B4" t="s">
        <v>269</v>
      </c>
      <c r="C4" s="273" t="s">
        <v>501</v>
      </c>
      <c r="D4" s="233">
        <v>768</v>
      </c>
    </row>
    <row r="5" spans="1:5">
      <c r="A5" t="s">
        <v>498</v>
      </c>
      <c r="B5" t="s">
        <v>269</v>
      </c>
      <c r="C5" s="1" t="s">
        <v>499</v>
      </c>
      <c r="D5" s="233">
        <f>768*2</f>
        <v>1536</v>
      </c>
    </row>
    <row r="6" spans="1:5">
      <c r="A6" t="s">
        <v>494</v>
      </c>
      <c r="B6" t="s">
        <v>269</v>
      </c>
      <c r="C6" s="1" t="s">
        <v>495</v>
      </c>
      <c r="D6" s="233">
        <f>768*2</f>
        <v>1536</v>
      </c>
    </row>
    <row r="7" spans="1:5">
      <c r="A7" t="s">
        <v>508</v>
      </c>
      <c r="B7" t="s">
        <v>269</v>
      </c>
      <c r="C7" s="1" t="s">
        <v>507</v>
      </c>
      <c r="D7" s="49">
        <v>568</v>
      </c>
    </row>
    <row r="8" spans="1:5">
      <c r="A8" t="s">
        <v>604</v>
      </c>
      <c r="B8" t="s">
        <v>269</v>
      </c>
      <c r="C8" s="1" t="s">
        <v>544</v>
      </c>
      <c r="D8" s="233">
        <f>768*2</f>
        <v>1536</v>
      </c>
    </row>
    <row r="9" spans="1:5">
      <c r="C9" s="1"/>
      <c r="D9" s="233"/>
    </row>
    <row r="10" spans="1:5">
      <c r="C10" s="1"/>
      <c r="D10" s="233"/>
    </row>
    <row r="11" spans="1:5">
      <c r="C11" s="1"/>
      <c r="D11" s="233"/>
    </row>
    <row r="13" spans="1:5">
      <c r="A13" s="293" t="s">
        <v>515</v>
      </c>
      <c r="B13" s="293" t="s">
        <v>421</v>
      </c>
      <c r="C13" s="293" t="s">
        <v>516</v>
      </c>
      <c r="D13" s="293" t="s">
        <v>519</v>
      </c>
      <c r="E13" s="293" t="s">
        <v>526</v>
      </c>
    </row>
    <row r="14" spans="1:5">
      <c r="A14" s="331" t="s">
        <v>513</v>
      </c>
      <c r="B14" s="30">
        <v>469</v>
      </c>
      <c r="C14" s="30">
        <v>310</v>
      </c>
      <c r="D14" s="100" t="s">
        <v>226</v>
      </c>
      <c r="E14" s="16" t="s">
        <v>226</v>
      </c>
    </row>
    <row r="15" spans="1:5">
      <c r="A15" s="331" t="s">
        <v>517</v>
      </c>
      <c r="B15" s="30">
        <v>66</v>
      </c>
      <c r="C15" s="30">
        <v>80</v>
      </c>
      <c r="D15" s="100" t="s">
        <v>226</v>
      </c>
      <c r="E15" s="16" t="s">
        <v>226</v>
      </c>
    </row>
    <row r="16" spans="1:5">
      <c r="A16" s="331" t="s">
        <v>514</v>
      </c>
      <c r="B16" s="30">
        <v>72</v>
      </c>
      <c r="C16" s="30">
        <v>72</v>
      </c>
      <c r="D16" s="100" t="s">
        <v>226</v>
      </c>
      <c r="E16" s="16" t="s">
        <v>226</v>
      </c>
    </row>
    <row r="17" spans="1:5">
      <c r="A17" s="331" t="s">
        <v>520</v>
      </c>
      <c r="B17" s="30" t="s">
        <v>226</v>
      </c>
      <c r="C17" s="30" t="s">
        <v>226</v>
      </c>
      <c r="D17" s="30">
        <v>560</v>
      </c>
      <c r="E17" s="16" t="s">
        <v>527</v>
      </c>
    </row>
    <row r="18" spans="1:5">
      <c r="A18" s="331" t="s">
        <v>525</v>
      </c>
      <c r="B18" s="16" t="s">
        <v>226</v>
      </c>
      <c r="C18" s="16" t="s">
        <v>226</v>
      </c>
      <c r="D18" s="16"/>
      <c r="E18" s="30">
        <v>120</v>
      </c>
    </row>
    <row r="19" spans="1:5">
      <c r="A19" s="606" t="s">
        <v>260</v>
      </c>
      <c r="B19" s="607">
        <f>B14+B15+B16</f>
        <v>607</v>
      </c>
      <c r="C19" s="607">
        <f>C14+C15+C16</f>
        <v>462</v>
      </c>
      <c r="D19" s="607">
        <f>D17</f>
        <v>560</v>
      </c>
      <c r="E19" s="607">
        <f>E18</f>
        <v>120</v>
      </c>
    </row>
    <row r="20" spans="1:5">
      <c r="A20" s="268"/>
      <c r="B20" s="200"/>
      <c r="C20" s="422" t="s">
        <v>518</v>
      </c>
      <c r="D20" s="200"/>
      <c r="E20" s="200"/>
    </row>
    <row r="22" spans="1:5">
      <c r="A22" s="102" t="s">
        <v>523</v>
      </c>
      <c r="B22" s="103" t="s">
        <v>528</v>
      </c>
    </row>
    <row r="23" spans="1:5">
      <c r="A23" s="331" t="s">
        <v>521</v>
      </c>
      <c r="B23" s="30">
        <f>126+64+124</f>
        <v>314</v>
      </c>
    </row>
    <row r="24" spans="1:5">
      <c r="A24" s="331" t="s">
        <v>522</v>
      </c>
      <c r="B24" s="30">
        <v>36</v>
      </c>
    </row>
    <row r="25" spans="1:5">
      <c r="A25" s="608" t="s">
        <v>260</v>
      </c>
      <c r="B25" s="315">
        <f>B23+B24</f>
        <v>350</v>
      </c>
    </row>
    <row r="26" spans="1:5">
      <c r="A26" s="270"/>
      <c r="B26" s="271"/>
    </row>
    <row r="27" spans="1:5">
      <c r="A27" s="554" t="s">
        <v>681</v>
      </c>
      <c r="B27" s="556" t="s">
        <v>685</v>
      </c>
      <c r="C27" s="101" t="s">
        <v>730</v>
      </c>
      <c r="D27" s="101" t="s">
        <v>1127</v>
      </c>
    </row>
    <row r="28" spans="1:5">
      <c r="A28" s="278" t="s">
        <v>682</v>
      </c>
      <c r="B28" s="315">
        <v>1000</v>
      </c>
      <c r="C28" s="315">
        <v>1600</v>
      </c>
      <c r="D28" s="84" t="s">
        <v>527</v>
      </c>
    </row>
    <row r="29" spans="1:5">
      <c r="A29" s="278" t="s">
        <v>683</v>
      </c>
      <c r="B29" s="315">
        <v>750</v>
      </c>
      <c r="C29" s="315">
        <v>1200</v>
      </c>
      <c r="D29" s="315">
        <v>1300</v>
      </c>
    </row>
    <row r="30" spans="1:5">
      <c r="A30" s="278" t="s">
        <v>684</v>
      </c>
      <c r="B30" s="315">
        <v>500</v>
      </c>
      <c r="C30" s="315">
        <v>800</v>
      </c>
      <c r="D30" s="315">
        <v>650</v>
      </c>
    </row>
    <row r="31" spans="1:5">
      <c r="A31" s="270"/>
      <c r="B31" s="271"/>
    </row>
    <row r="32" spans="1:5">
      <c r="A32" s="270"/>
      <c r="B32" s="271"/>
    </row>
    <row r="34" spans="1:6">
      <c r="A34" s="102" t="s">
        <v>727</v>
      </c>
      <c r="B34" s="293" t="s">
        <v>271</v>
      </c>
    </row>
    <row r="35" spans="1:6">
      <c r="A35" s="84" t="s">
        <v>564</v>
      </c>
      <c r="B35" s="318" t="s">
        <v>487</v>
      </c>
    </row>
    <row r="36" spans="1:6">
      <c r="A36" s="278" t="s">
        <v>624</v>
      </c>
      <c r="B36" s="316">
        <v>108.37</v>
      </c>
    </row>
    <row r="37" spans="1:6">
      <c r="A37" s="286"/>
      <c r="B37" s="317"/>
    </row>
    <row r="38" spans="1:6">
      <c r="A38" s="294" t="s">
        <v>726</v>
      </c>
      <c r="B38" s="319" t="s">
        <v>271</v>
      </c>
    </row>
    <row r="39" spans="1:6">
      <c r="A39" s="84" t="s">
        <v>538</v>
      </c>
      <c r="B39" s="318" t="s">
        <v>487</v>
      </c>
    </row>
    <row r="40" spans="1:6">
      <c r="A40" s="84" t="s">
        <v>540</v>
      </c>
      <c r="B40" s="318" t="s">
        <v>487</v>
      </c>
    </row>
    <row r="41" spans="1:6">
      <c r="A41" s="84" t="s">
        <v>634</v>
      </c>
      <c r="B41" s="30">
        <v>31.63</v>
      </c>
    </row>
    <row r="42" spans="1:6" ht="15" thickBot="1"/>
    <row r="43" spans="1:6">
      <c r="A43" s="313" t="s">
        <v>593</v>
      </c>
      <c r="B43" s="327" t="s">
        <v>596</v>
      </c>
      <c r="C43" s="328" t="s">
        <v>597</v>
      </c>
      <c r="D43" s="328" t="s">
        <v>599</v>
      </c>
      <c r="E43" s="328" t="s">
        <v>600</v>
      </c>
      <c r="F43" s="329" t="s">
        <v>602</v>
      </c>
    </row>
    <row r="44" spans="1:6">
      <c r="A44" s="330" t="s">
        <v>33</v>
      </c>
      <c r="B44" s="16"/>
      <c r="C44" s="30" t="s">
        <v>598</v>
      </c>
      <c r="D44" s="30"/>
      <c r="E44" s="30" t="s">
        <v>601</v>
      </c>
      <c r="F44" s="30" t="s">
        <v>603</v>
      </c>
    </row>
    <row r="45" spans="1:6">
      <c r="A45" s="331" t="s">
        <v>594</v>
      </c>
      <c r="B45" s="30">
        <v>650</v>
      </c>
      <c r="C45" s="30"/>
      <c r="D45" s="30">
        <v>460</v>
      </c>
      <c r="E45" s="30">
        <v>531</v>
      </c>
      <c r="F45" s="30">
        <v>1010</v>
      </c>
    </row>
    <row r="46" spans="1:6">
      <c r="A46" s="331" t="s">
        <v>595</v>
      </c>
      <c r="B46" s="274">
        <v>1300</v>
      </c>
      <c r="C46" s="274"/>
      <c r="D46" s="274">
        <v>797</v>
      </c>
      <c r="E46" s="274">
        <v>1111</v>
      </c>
      <c r="F46" s="274" t="s">
        <v>226</v>
      </c>
    </row>
    <row r="48" spans="1:6">
      <c r="A48" s="102" t="s">
        <v>605</v>
      </c>
      <c r="B48" s="333" t="s">
        <v>606</v>
      </c>
    </row>
    <row r="49" spans="1:4">
      <c r="A49" s="16" t="s">
        <v>607</v>
      </c>
      <c r="B49" s="309">
        <f>768*2</f>
        <v>1536</v>
      </c>
    </row>
    <row r="50" spans="1:4" ht="15" thickBot="1"/>
    <row r="51" spans="1:4">
      <c r="A51" s="292">
        <v>46034</v>
      </c>
      <c r="B51" s="327" t="s">
        <v>609</v>
      </c>
      <c r="C51" s="329" t="s">
        <v>187</v>
      </c>
    </row>
    <row r="52" spans="1:4" ht="15" thickBot="1">
      <c r="A52" s="229" t="s">
        <v>608</v>
      </c>
      <c r="B52" s="30">
        <v>640</v>
      </c>
      <c r="C52" s="30">
        <v>620</v>
      </c>
    </row>
    <row r="53" spans="1:4">
      <c r="C53" s="14"/>
    </row>
    <row r="54" spans="1:4">
      <c r="A54" s="332" t="s">
        <v>619</v>
      </c>
      <c r="B54" s="333" t="s">
        <v>528</v>
      </c>
    </row>
    <row r="55" spans="1:4">
      <c r="A55" s="90" t="s">
        <v>617</v>
      </c>
      <c r="B55" s="30">
        <f>175*2</f>
        <v>350</v>
      </c>
    </row>
    <row r="56" spans="1:4">
      <c r="A56" s="90" t="s">
        <v>618</v>
      </c>
      <c r="B56" s="30">
        <f>145*2</f>
        <v>290</v>
      </c>
    </row>
    <row r="57" spans="1:4">
      <c r="A57" s="120" t="s">
        <v>260</v>
      </c>
      <c r="B57" s="334">
        <f>B55+B56</f>
        <v>640</v>
      </c>
    </row>
    <row r="59" spans="1:4">
      <c r="A59" s="218" t="s">
        <v>620</v>
      </c>
      <c r="B59" s="101" t="s">
        <v>622</v>
      </c>
    </row>
    <row r="60" spans="1:4">
      <c r="A60" s="335" t="s">
        <v>621</v>
      </c>
      <c r="B60" s="423">
        <v>215</v>
      </c>
    </row>
    <row r="61" spans="1:4">
      <c r="A61" s="336" t="s">
        <v>260</v>
      </c>
      <c r="B61" s="275">
        <v>215</v>
      </c>
    </row>
    <row r="62" spans="1:4">
      <c r="A62" s="268"/>
      <c r="B62" s="269"/>
    </row>
    <row r="63" spans="1:4" ht="15" thickBot="1">
      <c r="A63" s="268"/>
      <c r="B63" s="200"/>
    </row>
    <row r="64" spans="1:4">
      <c r="A64" s="313" t="s">
        <v>623</v>
      </c>
      <c r="B64" s="328" t="s">
        <v>271</v>
      </c>
      <c r="C64" s="328" t="s">
        <v>295</v>
      </c>
      <c r="D64" s="329" t="s">
        <v>625</v>
      </c>
    </row>
    <row r="65" spans="1:4">
      <c r="A65" s="100" t="s">
        <v>634</v>
      </c>
      <c r="B65" s="30">
        <v>31.63</v>
      </c>
      <c r="C65" s="30">
        <v>32</v>
      </c>
      <c r="D65" s="30">
        <v>40</v>
      </c>
    </row>
    <row r="66" spans="1:4">
      <c r="A66" s="100" t="s">
        <v>624</v>
      </c>
      <c r="B66" s="30">
        <v>108.37</v>
      </c>
      <c r="C66" s="30">
        <v>80</v>
      </c>
      <c r="D66" s="30">
        <v>105</v>
      </c>
    </row>
    <row r="67" spans="1:4" ht="15" thickBot="1">
      <c r="A67" s="424" t="s">
        <v>260</v>
      </c>
      <c r="B67" s="334">
        <f>B65+B66</f>
        <v>140</v>
      </c>
      <c r="C67" s="334">
        <f>C65+C66</f>
        <v>112</v>
      </c>
      <c r="D67" s="334">
        <f>D65+D66</f>
        <v>145</v>
      </c>
    </row>
    <row r="68" spans="1:4">
      <c r="A68" s="270"/>
      <c r="B68" s="14" t="s">
        <v>627</v>
      </c>
      <c r="C68" s="267"/>
      <c r="D68" s="267"/>
    </row>
    <row r="70" spans="1:4">
      <c r="A70" s="102" t="s">
        <v>628</v>
      </c>
      <c r="B70" s="293" t="s">
        <v>221</v>
      </c>
      <c r="C70" s="293" t="s">
        <v>528</v>
      </c>
    </row>
    <row r="71" spans="1:4">
      <c r="A71" s="81" t="s">
        <v>629</v>
      </c>
      <c r="B71" s="100">
        <v>1</v>
      </c>
      <c r="C71" s="30">
        <v>139</v>
      </c>
    </row>
    <row r="72" spans="1:4">
      <c r="A72" s="81" t="s">
        <v>630</v>
      </c>
      <c r="B72" s="100">
        <v>1</v>
      </c>
      <c r="C72" s="30">
        <v>168</v>
      </c>
    </row>
    <row r="73" spans="1:4">
      <c r="A73" s="81" t="s">
        <v>631</v>
      </c>
      <c r="B73" s="100">
        <v>2</v>
      </c>
      <c r="C73" s="30">
        <v>122</v>
      </c>
    </row>
    <row r="74" spans="1:4">
      <c r="A74" s="81" t="s">
        <v>632</v>
      </c>
      <c r="B74" s="100">
        <v>6</v>
      </c>
      <c r="C74" s="30">
        <v>195</v>
      </c>
    </row>
    <row r="75" spans="1:4">
      <c r="A75" s="81" t="s">
        <v>633</v>
      </c>
      <c r="B75" s="100">
        <v>2</v>
      </c>
      <c r="C75" s="30">
        <v>60</v>
      </c>
    </row>
    <row r="76" spans="1:4">
      <c r="A76" s="867" t="s">
        <v>260</v>
      </c>
      <c r="B76" s="867"/>
      <c r="C76" s="334">
        <f>C71+C72+C73+C74+C75</f>
        <v>684</v>
      </c>
    </row>
    <row r="77" spans="1:4" ht="15" thickBot="1"/>
    <row r="78" spans="1:4">
      <c r="A78" s="313" t="s">
        <v>635</v>
      </c>
      <c r="B78" s="314" t="s">
        <v>638</v>
      </c>
    </row>
    <row r="79" spans="1:4">
      <c r="A79" s="16" t="s">
        <v>636</v>
      </c>
      <c r="B79" s="30">
        <v>727.92</v>
      </c>
    </row>
    <row r="80" spans="1:4">
      <c r="A80" s="16" t="s">
        <v>637</v>
      </c>
      <c r="B80" s="30">
        <v>387.49</v>
      </c>
    </row>
    <row r="81" spans="1:10">
      <c r="A81" s="120" t="s">
        <v>260</v>
      </c>
      <c r="B81" s="315">
        <f>B79+B80</f>
        <v>1115.4099999999999</v>
      </c>
    </row>
    <row r="83" spans="1:10">
      <c r="A83" s="102" t="s">
        <v>639</v>
      </c>
      <c r="B83" s="293" t="s">
        <v>528</v>
      </c>
    </row>
    <row r="84" spans="1:10">
      <c r="A84" s="16" t="s">
        <v>640</v>
      </c>
      <c r="B84" s="30">
        <v>40</v>
      </c>
    </row>
    <row r="85" spans="1:10">
      <c r="A85" s="277" t="s">
        <v>260</v>
      </c>
      <c r="B85" s="116">
        <v>40</v>
      </c>
    </row>
    <row r="86" spans="1:10">
      <c r="A86" s="270"/>
      <c r="B86" s="200"/>
      <c r="I86" s="286"/>
      <c r="J86" s="339"/>
    </row>
    <row r="87" spans="1:10">
      <c r="A87" s="102" t="s">
        <v>661</v>
      </c>
      <c r="B87" s="293" t="s">
        <v>659</v>
      </c>
      <c r="C87" s="293" t="s">
        <v>660</v>
      </c>
      <c r="D87" s="293" t="s">
        <v>731</v>
      </c>
      <c r="E87" s="293" t="s">
        <v>732</v>
      </c>
      <c r="F87" s="293" t="s">
        <v>733</v>
      </c>
      <c r="I87" s="286"/>
      <c r="J87" s="48"/>
    </row>
    <row r="88" spans="1:10" ht="15" thickBot="1">
      <c r="A88" s="120" t="s">
        <v>260</v>
      </c>
      <c r="B88" s="30">
        <v>199800</v>
      </c>
      <c r="C88" s="30">
        <v>235000</v>
      </c>
      <c r="D88" s="116"/>
      <c r="E88" s="337">
        <v>232000</v>
      </c>
      <c r="F88" s="338"/>
      <c r="I88" s="286"/>
      <c r="J88" s="847"/>
    </row>
    <row r="89" spans="1:10" ht="15" thickBot="1">
      <c r="A89" s="270"/>
      <c r="B89" s="118"/>
      <c r="C89" s="118"/>
      <c r="E89" s="852" t="s">
        <v>735</v>
      </c>
      <c r="F89" s="853"/>
      <c r="I89" s="286"/>
      <c r="J89" s="847"/>
    </row>
    <row r="91" spans="1:10">
      <c r="A91" s="294" t="s">
        <v>653</v>
      </c>
      <c r="B91" s="295" t="s">
        <v>654</v>
      </c>
      <c r="I91" s="83"/>
      <c r="J91" s="72"/>
    </row>
    <row r="92" spans="1:10">
      <c r="A92" s="278" t="s">
        <v>676</v>
      </c>
      <c r="B92" s="116">
        <v>170</v>
      </c>
      <c r="I92" s="286"/>
      <c r="J92" s="48"/>
    </row>
    <row r="93" spans="1:10">
      <c r="A93" s="278" t="s">
        <v>675</v>
      </c>
      <c r="B93" s="865">
        <v>530</v>
      </c>
    </row>
    <row r="94" spans="1:10">
      <c r="A94" s="278" t="s">
        <v>677</v>
      </c>
      <c r="B94" s="866"/>
      <c r="I94" s="83"/>
      <c r="J94" s="72"/>
    </row>
    <row r="95" spans="1:10">
      <c r="A95" s="278" t="s">
        <v>678</v>
      </c>
      <c r="B95" s="116">
        <v>170</v>
      </c>
      <c r="I95" s="117"/>
      <c r="J95" s="1"/>
    </row>
    <row r="96" spans="1:10">
      <c r="A96" s="278"/>
      <c r="B96" s="116"/>
      <c r="I96" s="117"/>
      <c r="J96" s="339"/>
    </row>
    <row r="97" spans="1:11">
      <c r="A97" s="278"/>
      <c r="B97" s="116"/>
      <c r="J97" s="117"/>
    </row>
    <row r="98" spans="1:11">
      <c r="A98" s="16"/>
      <c r="B98" s="116"/>
      <c r="J98" s="340"/>
    </row>
    <row r="99" spans="1:11" ht="15" thickBot="1"/>
    <row r="100" spans="1:11" ht="15" thickBot="1">
      <c r="A100" s="296" t="s">
        <v>655</v>
      </c>
      <c r="B100" s="297" t="s">
        <v>643</v>
      </c>
      <c r="C100" s="297" t="s">
        <v>644</v>
      </c>
      <c r="D100" s="297" t="s">
        <v>645</v>
      </c>
      <c r="E100" s="298" t="s">
        <v>646</v>
      </c>
      <c r="I100" s="117"/>
      <c r="J100" s="72"/>
      <c r="K100" s="72"/>
    </row>
    <row r="101" spans="1:11">
      <c r="A101" s="281" t="s">
        <v>641</v>
      </c>
      <c r="B101" s="282">
        <f>49.9*2</f>
        <v>99.8</v>
      </c>
      <c r="C101" s="282">
        <v>150</v>
      </c>
      <c r="D101" s="282">
        <f>2*42.9</f>
        <v>85.8</v>
      </c>
      <c r="E101" s="282">
        <f>40*2</f>
        <v>80</v>
      </c>
      <c r="I101" s="117"/>
      <c r="J101" s="72"/>
      <c r="K101" s="48"/>
    </row>
    <row r="102" spans="1:11">
      <c r="A102" s="218" t="s">
        <v>642</v>
      </c>
      <c r="B102" s="30">
        <f>3*59</f>
        <v>177</v>
      </c>
      <c r="C102" s="30">
        <v>234</v>
      </c>
      <c r="D102" s="30">
        <f>3*69.9</f>
        <v>209.70000000000002</v>
      </c>
      <c r="E102" s="30"/>
    </row>
    <row r="103" spans="1:11">
      <c r="A103" s="120" t="s">
        <v>260</v>
      </c>
      <c r="B103" s="275">
        <f>B101+B102</f>
        <v>276.8</v>
      </c>
      <c r="C103" s="275">
        <f>C101+C102</f>
        <v>384</v>
      </c>
      <c r="D103" s="275">
        <f>D101+D102</f>
        <v>295.5</v>
      </c>
      <c r="E103" s="274"/>
      <c r="I103" s="117"/>
      <c r="J103" s="117"/>
    </row>
    <row r="104" spans="1:11">
      <c r="A104" s="863" t="s">
        <v>651</v>
      </c>
      <c r="B104" s="272"/>
      <c r="C104" s="272"/>
      <c r="D104" s="276" t="s">
        <v>627</v>
      </c>
      <c r="E104" s="49"/>
      <c r="I104" s="117"/>
      <c r="J104" s="48"/>
    </row>
    <row r="105" spans="1:11">
      <c r="A105" s="864"/>
      <c r="B105" s="271" t="s">
        <v>650</v>
      </c>
      <c r="C105" s="271" t="s">
        <v>647</v>
      </c>
      <c r="D105" s="271" t="s">
        <v>648</v>
      </c>
      <c r="I105" s="117"/>
    </row>
    <row r="106" spans="1:11">
      <c r="A106" s="864"/>
      <c r="B106" s="117" t="s">
        <v>649</v>
      </c>
      <c r="C106" s="117" t="s">
        <v>652</v>
      </c>
      <c r="D106" s="117" t="s">
        <v>652</v>
      </c>
    </row>
    <row r="107" spans="1:11" ht="15.6">
      <c r="A107" s="864"/>
      <c r="B107" s="117" t="s">
        <v>656</v>
      </c>
      <c r="C107" s="117" t="s">
        <v>656</v>
      </c>
      <c r="D107" s="117" t="s">
        <v>657</v>
      </c>
      <c r="E107" s="117" t="s">
        <v>658</v>
      </c>
      <c r="I107" s="341"/>
      <c r="J107" s="341"/>
      <c r="K107" s="341"/>
    </row>
    <row r="108" spans="1:11" ht="15" thickBot="1">
      <c r="I108" s="72"/>
      <c r="J108" s="72"/>
      <c r="K108" s="72"/>
    </row>
    <row r="109" spans="1:11" ht="15" thickBot="1">
      <c r="A109" s="299" t="s">
        <v>729</v>
      </c>
      <c r="B109" s="300" t="s">
        <v>662</v>
      </c>
      <c r="I109" s="72"/>
      <c r="J109" s="1"/>
      <c r="K109" s="48"/>
    </row>
    <row r="110" spans="1:11">
      <c r="A110" s="281" t="s">
        <v>728</v>
      </c>
      <c r="B110" s="282">
        <v>176.3</v>
      </c>
      <c r="I110" s="72"/>
      <c r="J110" s="1"/>
      <c r="K110" s="48"/>
    </row>
    <row r="111" spans="1:11" ht="15" thickBot="1">
      <c r="I111" s="72"/>
      <c r="J111" s="1"/>
      <c r="K111" s="48"/>
    </row>
    <row r="112" spans="1:11" ht="15" thickBot="1">
      <c r="A112" s="299">
        <v>46038</v>
      </c>
      <c r="B112" s="300" t="s">
        <v>599</v>
      </c>
      <c r="I112" s="72"/>
      <c r="J112" s="1"/>
      <c r="K112" s="48"/>
    </row>
    <row r="113" spans="1:11">
      <c r="A113" s="283" t="s">
        <v>663</v>
      </c>
      <c r="B113" s="282">
        <v>379</v>
      </c>
      <c r="I113" s="72"/>
      <c r="J113" s="1"/>
      <c r="K113" s="48"/>
    </row>
    <row r="114" spans="1:11" ht="15" thickBot="1">
      <c r="I114" s="72"/>
      <c r="J114" s="1"/>
      <c r="K114" s="48"/>
    </row>
    <row r="115" spans="1:11" ht="15" thickBot="1">
      <c r="A115" s="299">
        <v>46041</v>
      </c>
      <c r="B115" s="301" t="s">
        <v>666</v>
      </c>
      <c r="C115" s="301" t="s">
        <v>667</v>
      </c>
      <c r="D115" s="300" t="s">
        <v>668</v>
      </c>
      <c r="E115" s="314" t="s">
        <v>697</v>
      </c>
    </row>
    <row r="116" spans="1:11">
      <c r="A116" s="284" t="s">
        <v>664</v>
      </c>
      <c r="B116" s="285" t="s">
        <v>226</v>
      </c>
      <c r="C116" s="285" t="s">
        <v>226</v>
      </c>
      <c r="D116" s="285" t="s">
        <v>226</v>
      </c>
      <c r="E116" s="320" t="s">
        <v>226</v>
      </c>
      <c r="I116" s="286"/>
      <c r="J116" s="72"/>
    </row>
    <row r="117" spans="1:11">
      <c r="A117" s="218" t="s">
        <v>665</v>
      </c>
      <c r="B117" s="280" t="s">
        <v>670</v>
      </c>
      <c r="C117" s="280">
        <v>1297.99</v>
      </c>
      <c r="D117" s="280">
        <v>729</v>
      </c>
      <c r="E117" s="280">
        <v>1576.08</v>
      </c>
      <c r="I117" s="286"/>
      <c r="J117" s="48"/>
    </row>
    <row r="118" spans="1:11">
      <c r="A118" s="16"/>
      <c r="B118" s="3" t="s">
        <v>671</v>
      </c>
      <c r="C118" s="280">
        <v>716</v>
      </c>
      <c r="D118" s="3" t="s">
        <v>669</v>
      </c>
      <c r="E118" s="84" t="s">
        <v>698</v>
      </c>
    </row>
    <row r="119" spans="1:11">
      <c r="B119" s="1" t="s">
        <v>672</v>
      </c>
      <c r="C119" s="1" t="s">
        <v>672</v>
      </c>
      <c r="E119" s="289">
        <v>46044</v>
      </c>
      <c r="I119" s="117"/>
      <c r="J119" s="72"/>
    </row>
    <row r="120" spans="1:11" ht="15" thickBot="1">
      <c r="I120" s="117"/>
      <c r="J120" s="48"/>
    </row>
    <row r="121" spans="1:11" ht="15" thickBot="1">
      <c r="A121" s="296" t="s">
        <v>673</v>
      </c>
      <c r="B121" s="301" t="s">
        <v>221</v>
      </c>
      <c r="C121" s="300" t="s">
        <v>6</v>
      </c>
      <c r="I121" s="117"/>
      <c r="J121" s="48"/>
    </row>
    <row r="122" spans="1:11">
      <c r="A122" s="281" t="s">
        <v>674</v>
      </c>
      <c r="B122" s="279">
        <v>2</v>
      </c>
      <c r="C122" s="282">
        <v>3742.36</v>
      </c>
      <c r="I122" s="270"/>
      <c r="J122" s="48"/>
    </row>
    <row r="123" spans="1:11" ht="15" thickBot="1"/>
    <row r="124" spans="1:11" ht="15" thickBot="1">
      <c r="A124" s="296" t="s">
        <v>679</v>
      </c>
      <c r="B124" s="297" t="s">
        <v>643</v>
      </c>
      <c r="C124" s="297" t="s">
        <v>644</v>
      </c>
      <c r="D124" s="297" t="s">
        <v>645</v>
      </c>
      <c r="E124" s="298" t="s">
        <v>646</v>
      </c>
      <c r="I124" s="117"/>
      <c r="J124" s="72"/>
    </row>
    <row r="125" spans="1:11">
      <c r="A125" s="183" t="s">
        <v>680</v>
      </c>
      <c r="B125" s="49">
        <v>598</v>
      </c>
      <c r="C125" s="49">
        <f>385*2</f>
        <v>770</v>
      </c>
      <c r="D125" s="49"/>
      <c r="E125" s="49"/>
      <c r="I125" s="117"/>
      <c r="J125" s="48"/>
    </row>
    <row r="126" spans="1:11">
      <c r="A126" s="117"/>
      <c r="B126" s="165"/>
      <c r="C126" s="49"/>
      <c r="D126" s="49"/>
      <c r="E126" s="49"/>
      <c r="I126" s="117"/>
      <c r="J126" s="48"/>
    </row>
    <row r="127" spans="1:11" ht="15" thickBot="1">
      <c r="I127" s="270"/>
      <c r="J127" s="48"/>
    </row>
    <row r="128" spans="1:11" ht="16.2" thickBot="1">
      <c r="A128" s="745" t="s">
        <v>736</v>
      </c>
      <c r="B128" s="746"/>
      <c r="C128" s="746"/>
      <c r="D128" s="747"/>
    </row>
    <row r="129" spans="1:11" ht="15" thickBot="1">
      <c r="A129" s="304" t="s">
        <v>319</v>
      </c>
      <c r="B129" s="305" t="s">
        <v>33</v>
      </c>
      <c r="C129" s="305" t="s">
        <v>690</v>
      </c>
      <c r="D129" s="306">
        <v>46044</v>
      </c>
      <c r="I129" s="117"/>
      <c r="J129" s="72"/>
    </row>
    <row r="130" spans="1:11">
      <c r="A130" s="140" t="s">
        <v>322</v>
      </c>
      <c r="B130" s="141" t="s">
        <v>323</v>
      </c>
      <c r="C130" s="302">
        <v>5.45</v>
      </c>
      <c r="D130" s="303"/>
      <c r="I130" s="117"/>
      <c r="J130" s="272"/>
    </row>
    <row r="131" spans="1:11">
      <c r="A131" s="3" t="s">
        <v>326</v>
      </c>
      <c r="B131" s="100" t="s">
        <v>327</v>
      </c>
      <c r="C131" s="30">
        <v>5.39</v>
      </c>
      <c r="D131" s="290" t="s">
        <v>691</v>
      </c>
    </row>
    <row r="132" spans="1:11">
      <c r="A132" s="3" t="s">
        <v>330</v>
      </c>
      <c r="B132" s="100" t="s">
        <v>331</v>
      </c>
      <c r="C132" s="30">
        <v>5.41</v>
      </c>
      <c r="D132" s="290"/>
      <c r="I132" s="117"/>
      <c r="J132" s="117"/>
      <c r="K132" s="117"/>
    </row>
    <row r="133" spans="1:11">
      <c r="A133" s="384" t="s">
        <v>334</v>
      </c>
      <c r="B133" s="320" t="s">
        <v>335</v>
      </c>
      <c r="C133" s="385">
        <v>5.33</v>
      </c>
      <c r="D133" s="320" t="s">
        <v>692</v>
      </c>
      <c r="E133" t="s">
        <v>714</v>
      </c>
      <c r="I133" s="117"/>
      <c r="J133" s="48"/>
      <c r="K133" s="48"/>
    </row>
    <row r="134" spans="1:11">
      <c r="A134" s="3" t="s">
        <v>693</v>
      </c>
      <c r="B134" s="100" t="s">
        <v>694</v>
      </c>
      <c r="C134" s="30"/>
      <c r="D134" s="100"/>
      <c r="E134" t="s">
        <v>714</v>
      </c>
      <c r="I134" s="117"/>
    </row>
    <row r="135" spans="1:11">
      <c r="A135" s="3" t="s">
        <v>702</v>
      </c>
      <c r="B135" s="100" t="s">
        <v>703</v>
      </c>
      <c r="C135" s="30">
        <v>5.36</v>
      </c>
      <c r="D135" s="290"/>
      <c r="I135" s="117"/>
      <c r="J135" s="48"/>
      <c r="K135" s="48"/>
    </row>
    <row r="136" spans="1:11">
      <c r="A136" s="3" t="s">
        <v>742</v>
      </c>
      <c r="B136" s="100" t="s">
        <v>743</v>
      </c>
      <c r="C136" s="30">
        <v>5.44</v>
      </c>
      <c r="D136" s="100"/>
      <c r="I136" s="270"/>
      <c r="J136" s="267"/>
      <c r="K136" s="267"/>
    </row>
    <row r="138" spans="1:11">
      <c r="A138" s="294" t="s">
        <v>696</v>
      </c>
      <c r="B138" s="293" t="s">
        <v>706</v>
      </c>
    </row>
    <row r="139" spans="1:11">
      <c r="A139" s="307" t="s">
        <v>695</v>
      </c>
      <c r="B139" s="30">
        <v>10.5</v>
      </c>
      <c r="C139" s="276" t="s">
        <v>627</v>
      </c>
    </row>
    <row r="141" spans="1:11">
      <c r="A141" s="102" t="s">
        <v>699</v>
      </c>
      <c r="B141" s="293" t="s">
        <v>707</v>
      </c>
    </row>
    <row r="142" spans="1:11">
      <c r="A142" s="84" t="s">
        <v>700</v>
      </c>
      <c r="B142" s="30">
        <v>61.6</v>
      </c>
      <c r="I142" s="117"/>
      <c r="J142" s="72"/>
      <c r="K142" s="72"/>
    </row>
    <row r="143" spans="1:11">
      <c r="A143" s="84" t="s">
        <v>701</v>
      </c>
      <c r="B143" s="30">
        <v>97.11</v>
      </c>
      <c r="I143" s="117"/>
      <c r="J143" s="72"/>
      <c r="K143" s="48"/>
    </row>
    <row r="144" spans="1:11">
      <c r="A144" s="308" t="s">
        <v>260</v>
      </c>
      <c r="B144" s="30">
        <f>B142+B143</f>
        <v>158.71</v>
      </c>
      <c r="C144" s="276" t="s">
        <v>627</v>
      </c>
    </row>
    <row r="145" spans="1:10">
      <c r="I145" s="286"/>
      <c r="J145" s="339"/>
    </row>
    <row r="146" spans="1:10">
      <c r="A146" s="102" t="s">
        <v>704</v>
      </c>
      <c r="B146" s="293" t="s">
        <v>528</v>
      </c>
      <c r="I146" s="286"/>
      <c r="J146" s="48"/>
    </row>
    <row r="147" spans="1:10">
      <c r="A147" s="84" t="s">
        <v>734</v>
      </c>
      <c r="B147" s="30">
        <v>460</v>
      </c>
      <c r="I147" s="286"/>
      <c r="J147" s="847"/>
    </row>
    <row r="148" spans="1:10">
      <c r="A148" s="84" t="s">
        <v>705</v>
      </c>
      <c r="B148" s="30">
        <v>60</v>
      </c>
      <c r="I148" s="286"/>
      <c r="J148" s="847"/>
    </row>
    <row r="149" spans="1:10">
      <c r="A149" s="308" t="s">
        <v>260</v>
      </c>
      <c r="B149" s="30">
        <v>520</v>
      </c>
      <c r="I149" s="286"/>
      <c r="J149" s="48"/>
    </row>
    <row r="151" spans="1:10">
      <c r="A151" s="102" t="s">
        <v>711</v>
      </c>
      <c r="B151" s="293" t="s">
        <v>712</v>
      </c>
    </row>
    <row r="152" spans="1:10">
      <c r="A152" s="84" t="s">
        <v>713</v>
      </c>
      <c r="B152" s="309">
        <v>2872.1</v>
      </c>
    </row>
    <row r="154" spans="1:10">
      <c r="A154" s="102" t="s">
        <v>719</v>
      </c>
      <c r="B154" s="102" t="s">
        <v>720</v>
      </c>
      <c r="C154" s="102" t="s">
        <v>724</v>
      </c>
    </row>
    <row r="155" spans="1:10">
      <c r="A155" s="84" t="s">
        <v>725</v>
      </c>
      <c r="B155" s="30">
        <v>250</v>
      </c>
      <c r="C155" s="30">
        <v>692.25</v>
      </c>
    </row>
    <row r="156" spans="1:10">
      <c r="A156" s="84" t="s">
        <v>721</v>
      </c>
      <c r="B156" s="312" t="s">
        <v>722</v>
      </c>
      <c r="C156" s="312" t="s">
        <v>723</v>
      </c>
    </row>
    <row r="157" spans="1:10">
      <c r="A157" s="84" t="s">
        <v>56</v>
      </c>
      <c r="B157" s="30">
        <v>50</v>
      </c>
      <c r="C157" s="30">
        <v>132</v>
      </c>
    </row>
    <row r="158" spans="1:10">
      <c r="A158" s="308" t="s">
        <v>260</v>
      </c>
      <c r="B158" s="311">
        <f>B155+B157</f>
        <v>300</v>
      </c>
      <c r="C158" s="311">
        <f>C155+C157</f>
        <v>824.25</v>
      </c>
    </row>
    <row r="159" spans="1:10" ht="15" thickBot="1"/>
    <row r="160" spans="1:10" ht="15.6">
      <c r="A160" s="348" t="s">
        <v>1516</v>
      </c>
      <c r="B160" s="350" t="s">
        <v>221</v>
      </c>
      <c r="C160" s="351" t="s">
        <v>638</v>
      </c>
      <c r="D160" s="327" t="s">
        <v>295</v>
      </c>
      <c r="E160" s="328" t="s">
        <v>420</v>
      </c>
      <c r="F160" s="329" t="s">
        <v>421</v>
      </c>
    </row>
    <row r="161" spans="1:14">
      <c r="A161" s="84" t="s">
        <v>770</v>
      </c>
      <c r="B161" s="3">
        <v>1</v>
      </c>
      <c r="C161" s="352">
        <v>1483.46</v>
      </c>
      <c r="D161" s="115" t="s">
        <v>226</v>
      </c>
      <c r="E161" s="30">
        <v>205</v>
      </c>
      <c r="F161" s="30">
        <v>244</v>
      </c>
    </row>
    <row r="162" spans="1:14">
      <c r="A162" s="84" t="s">
        <v>771</v>
      </c>
      <c r="B162" s="3">
        <v>1</v>
      </c>
      <c r="C162" s="352">
        <v>678.71</v>
      </c>
      <c r="D162" s="30">
        <v>300</v>
      </c>
      <c r="E162" s="30">
        <v>78</v>
      </c>
      <c r="F162" s="115" t="s">
        <v>226</v>
      </c>
    </row>
    <row r="163" spans="1:14">
      <c r="A163" s="827" t="s">
        <v>260</v>
      </c>
      <c r="B163" s="828"/>
      <c r="C163" s="353">
        <f>C161+C162</f>
        <v>2162.17</v>
      </c>
      <c r="D163" s="346">
        <f>D162</f>
        <v>300</v>
      </c>
      <c r="E163" s="346">
        <f>E161+E162</f>
        <v>283</v>
      </c>
      <c r="F163" s="346">
        <f>F161</f>
        <v>244</v>
      </c>
    </row>
    <row r="166" spans="1:14" ht="15.6">
      <c r="A166" s="349" t="s">
        <v>744</v>
      </c>
      <c r="B166" s="293" t="s">
        <v>221</v>
      </c>
      <c r="C166" s="293" t="s">
        <v>638</v>
      </c>
    </row>
    <row r="167" spans="1:14">
      <c r="A167" s="84" t="s">
        <v>745</v>
      </c>
      <c r="B167" s="100">
        <v>1</v>
      </c>
      <c r="C167" s="16">
        <v>433.84</v>
      </c>
    </row>
    <row r="168" spans="1:14">
      <c r="A168" s="84" t="s">
        <v>746</v>
      </c>
      <c r="B168" s="100">
        <v>1</v>
      </c>
      <c r="C168" s="16">
        <v>473.25</v>
      </c>
      <c r="I168" s="829"/>
      <c r="J168" s="72"/>
      <c r="K168" s="72"/>
      <c r="L168" s="72"/>
      <c r="M168" s="72"/>
    </row>
    <row r="169" spans="1:14">
      <c r="A169" s="804" t="s">
        <v>260</v>
      </c>
      <c r="B169" s="804"/>
      <c r="C169" s="347">
        <f>C168+C167</f>
        <v>907.08999999999992</v>
      </c>
      <c r="I169" s="829"/>
      <c r="J169" s="72"/>
      <c r="K169" s="72"/>
      <c r="L169" s="72"/>
      <c r="M169" s="72"/>
    </row>
    <row r="170" spans="1:14">
      <c r="I170" s="72"/>
      <c r="J170" s="48"/>
      <c r="K170" s="48"/>
      <c r="L170" s="48"/>
      <c r="M170" s="48"/>
    </row>
    <row r="171" spans="1:14">
      <c r="A171" s="826" t="s">
        <v>737</v>
      </c>
      <c r="B171" s="826" t="s">
        <v>411</v>
      </c>
      <c r="C171" s="293" t="s">
        <v>283</v>
      </c>
      <c r="D171" s="293" t="s">
        <v>284</v>
      </c>
      <c r="E171" s="293" t="s">
        <v>285</v>
      </c>
      <c r="F171" s="293" t="s">
        <v>740</v>
      </c>
      <c r="G171" s="293" t="s">
        <v>740</v>
      </c>
      <c r="H171" s="293" t="s">
        <v>750</v>
      </c>
      <c r="J171" s="72"/>
      <c r="K171" s="11"/>
      <c r="L171" s="11"/>
      <c r="M171" s="48"/>
      <c r="N171" s="48"/>
    </row>
    <row r="172" spans="1:14">
      <c r="A172" s="826"/>
      <c r="B172" s="826"/>
      <c r="C172" s="293">
        <v>999571824</v>
      </c>
      <c r="D172" s="293" t="s">
        <v>287</v>
      </c>
      <c r="E172" s="293" t="s">
        <v>286</v>
      </c>
      <c r="F172" s="293" t="s">
        <v>741</v>
      </c>
      <c r="G172" s="293" t="s">
        <v>768</v>
      </c>
      <c r="H172" s="293" t="s">
        <v>751</v>
      </c>
      <c r="J172" s="72"/>
      <c r="K172" s="48"/>
      <c r="L172" s="48"/>
      <c r="M172" s="48"/>
      <c r="N172" s="48"/>
    </row>
    <row r="173" spans="1:14">
      <c r="A173" s="3" t="s">
        <v>490</v>
      </c>
      <c r="B173" s="100" t="s">
        <v>753</v>
      </c>
      <c r="C173" s="16">
        <v>339.22</v>
      </c>
      <c r="D173" s="16"/>
      <c r="E173" s="30">
        <v>339</v>
      </c>
      <c r="F173" s="16">
        <v>303.69</v>
      </c>
      <c r="G173" s="30">
        <v>2999.86</v>
      </c>
      <c r="H173" s="342">
        <v>334.41</v>
      </c>
      <c r="J173" s="72"/>
      <c r="K173" s="48"/>
      <c r="L173" s="11"/>
      <c r="M173" s="48"/>
      <c r="N173" s="48"/>
    </row>
    <row r="174" spans="1:14">
      <c r="A174" s="3" t="s">
        <v>738</v>
      </c>
      <c r="B174" s="100" t="s">
        <v>753</v>
      </c>
      <c r="C174" s="16" t="s">
        <v>226</v>
      </c>
      <c r="D174" s="16"/>
      <c r="E174" s="100" t="s">
        <v>226</v>
      </c>
      <c r="F174" s="16">
        <v>357.33</v>
      </c>
      <c r="G174" s="30">
        <v>3550.06</v>
      </c>
      <c r="H174" s="342">
        <v>668.13</v>
      </c>
      <c r="I174" t="s">
        <v>752</v>
      </c>
      <c r="J174" s="270"/>
      <c r="K174" s="48"/>
      <c r="L174" s="48"/>
      <c r="M174" s="48"/>
      <c r="N174" s="48"/>
    </row>
    <row r="175" spans="1:14">
      <c r="A175" s="3" t="s">
        <v>739</v>
      </c>
      <c r="B175" s="100" t="s">
        <v>753</v>
      </c>
      <c r="C175" s="16">
        <v>327.36</v>
      </c>
      <c r="D175" s="16"/>
      <c r="E175" s="30">
        <v>345</v>
      </c>
      <c r="F175" s="16">
        <v>260.77999999999997</v>
      </c>
      <c r="G175" s="30">
        <v>2572.9</v>
      </c>
      <c r="H175" s="342">
        <v>417.54</v>
      </c>
    </row>
    <row r="176" spans="1:14">
      <c r="A176" s="3" t="s">
        <v>754</v>
      </c>
      <c r="B176" s="100" t="s">
        <v>753</v>
      </c>
      <c r="C176" s="16">
        <v>555.94000000000005</v>
      </c>
      <c r="D176" s="16"/>
      <c r="E176" s="100" t="s">
        <v>226</v>
      </c>
      <c r="F176" s="16">
        <v>283.72000000000003</v>
      </c>
      <c r="G176" s="30">
        <v>2754.69</v>
      </c>
      <c r="H176" s="342">
        <v>574.16</v>
      </c>
      <c r="J176" s="117"/>
      <c r="K176" s="72"/>
      <c r="L176" s="72"/>
    </row>
    <row r="177" spans="1:13">
      <c r="A177" s="827" t="s">
        <v>260</v>
      </c>
      <c r="B177" s="828"/>
      <c r="C177" s="343">
        <f>C173+C175+C176</f>
        <v>1222.52</v>
      </c>
      <c r="D177" s="343"/>
      <c r="E177" s="344">
        <f>E173+E175</f>
        <v>684</v>
      </c>
      <c r="F177" s="343">
        <f>F173+F174+F175+F176</f>
        <v>1205.52</v>
      </c>
      <c r="G177" s="345">
        <f>G173+G174+G175+G176</f>
        <v>11877.51</v>
      </c>
      <c r="H177" s="345">
        <f>H173+H174+H175+H176</f>
        <v>1994.2399999999998</v>
      </c>
      <c r="J177" s="117"/>
      <c r="K177" s="1"/>
    </row>
    <row r="178" spans="1:13">
      <c r="I178" s="117"/>
      <c r="J178" s="1"/>
    </row>
    <row r="179" spans="1:13">
      <c r="D179" s="829"/>
      <c r="E179" s="829"/>
      <c r="F179" s="72"/>
      <c r="G179" s="72"/>
      <c r="H179" s="72"/>
      <c r="I179" s="72"/>
      <c r="J179" s="72"/>
      <c r="K179" s="117"/>
    </row>
    <row r="180" spans="1:13">
      <c r="A180" s="102" t="s">
        <v>747</v>
      </c>
      <c r="B180" s="293" t="s">
        <v>748</v>
      </c>
      <c r="D180" s="829"/>
      <c r="E180" s="829"/>
      <c r="F180" s="72"/>
      <c r="G180" s="72"/>
      <c r="H180" s="72"/>
      <c r="I180" s="72"/>
      <c r="J180" s="72"/>
      <c r="K180" s="72"/>
    </row>
    <row r="181" spans="1:13">
      <c r="A181" s="84" t="s">
        <v>749</v>
      </c>
      <c r="B181" s="30">
        <v>130</v>
      </c>
      <c r="D181" s="72"/>
      <c r="E181" s="1"/>
      <c r="G181" s="48"/>
      <c r="I181" s="48"/>
      <c r="J181" s="462"/>
      <c r="K181" s="48"/>
      <c r="L181" s="825"/>
      <c r="M181" s="825"/>
    </row>
    <row r="182" spans="1:13">
      <c r="B182" s="276" t="s">
        <v>627</v>
      </c>
      <c r="E182" s="463"/>
      <c r="F182" s="463"/>
      <c r="G182" s="72"/>
      <c r="H182" s="72"/>
      <c r="I182" s="117"/>
      <c r="K182" s="272"/>
    </row>
    <row r="183" spans="1:13">
      <c r="E183" s="72"/>
      <c r="F183" s="1"/>
      <c r="H183" s="48"/>
    </row>
    <row r="184" spans="1:13">
      <c r="A184" s="102" t="s">
        <v>755</v>
      </c>
      <c r="B184" s="293" t="s">
        <v>757</v>
      </c>
      <c r="C184" s="117"/>
      <c r="D184" s="117"/>
      <c r="E184" s="72"/>
      <c r="F184" s="1"/>
      <c r="H184" s="48"/>
      <c r="J184" s="117"/>
      <c r="K184" s="72"/>
    </row>
    <row r="185" spans="1:13">
      <c r="A185" s="84" t="s">
        <v>756</v>
      </c>
      <c r="B185" s="30">
        <v>90</v>
      </c>
      <c r="E185" s="72"/>
      <c r="F185" s="1"/>
      <c r="H185" s="48"/>
      <c r="J185" s="117"/>
      <c r="K185" s="48"/>
    </row>
    <row r="186" spans="1:13">
      <c r="A186" s="16"/>
      <c r="B186" s="276" t="s">
        <v>627</v>
      </c>
      <c r="E186" s="72"/>
      <c r="F186" s="1"/>
      <c r="H186" s="48"/>
      <c r="K186" s="272"/>
    </row>
    <row r="187" spans="1:13">
      <c r="B187" s="272"/>
      <c r="E187" s="72"/>
      <c r="F187" s="1"/>
      <c r="H187" s="48"/>
    </row>
    <row r="188" spans="1:13">
      <c r="A188" s="293" t="s">
        <v>774</v>
      </c>
      <c r="B188" s="295" t="s">
        <v>283</v>
      </c>
      <c r="C188" s="293" t="s">
        <v>796</v>
      </c>
      <c r="E188" s="72"/>
      <c r="F188" s="1"/>
      <c r="H188" s="48"/>
      <c r="J188" s="117"/>
      <c r="K188" s="72"/>
      <c r="L188" s="117"/>
      <c r="M188" s="72"/>
    </row>
    <row r="189" spans="1:13" ht="15" thickBot="1">
      <c r="A189" s="135" t="s">
        <v>773</v>
      </c>
      <c r="B189" s="464">
        <v>2978.9</v>
      </c>
      <c r="C189" s="352">
        <v>6286</v>
      </c>
      <c r="E189" s="72"/>
      <c r="F189" s="1"/>
      <c r="H189" s="48"/>
      <c r="J189" s="72"/>
      <c r="K189" s="72"/>
      <c r="L189" s="48"/>
      <c r="M189" s="48"/>
    </row>
    <row r="190" spans="1:13">
      <c r="B190" s="272"/>
      <c r="E190" s="72"/>
      <c r="F190" s="1"/>
      <c r="H190" s="48"/>
      <c r="J190" s="72"/>
      <c r="K190" s="72"/>
      <c r="L190" s="48"/>
      <c r="M190" s="48"/>
    </row>
    <row r="191" spans="1:13" ht="15" thickBot="1">
      <c r="D191" s="359"/>
      <c r="E191" s="117"/>
      <c r="F191" s="117"/>
      <c r="G191" s="117"/>
      <c r="H191" s="272"/>
      <c r="J191" s="72"/>
      <c r="K191" s="72"/>
      <c r="L191" s="48"/>
      <c r="M191" s="48"/>
    </row>
    <row r="192" spans="1:13">
      <c r="A192" s="374" t="s">
        <v>766</v>
      </c>
      <c r="B192" s="375" t="s">
        <v>221</v>
      </c>
      <c r="C192" s="376" t="s">
        <v>767</v>
      </c>
      <c r="D192" s="375" t="s">
        <v>599</v>
      </c>
      <c r="E192" s="371" t="s">
        <v>769</v>
      </c>
      <c r="H192" s="215"/>
      <c r="J192" s="72"/>
      <c r="K192" s="72"/>
      <c r="L192" s="48"/>
      <c r="M192" s="48"/>
    </row>
    <row r="193" spans="1:13">
      <c r="A193" s="94" t="s">
        <v>758</v>
      </c>
      <c r="B193" s="354">
        <v>4</v>
      </c>
      <c r="C193" s="355">
        <f>4*40</f>
        <v>160</v>
      </c>
      <c r="D193" s="355">
        <v>172</v>
      </c>
      <c r="E193" s="377">
        <f>B193*42</f>
        <v>168</v>
      </c>
      <c r="F193" s="855" t="s">
        <v>775</v>
      </c>
      <c r="G193" s="854">
        <v>410</v>
      </c>
      <c r="J193" s="72"/>
      <c r="K193" s="72"/>
      <c r="L193" s="48"/>
      <c r="M193" s="48"/>
    </row>
    <row r="194" spans="1:13">
      <c r="A194" s="94" t="s">
        <v>759</v>
      </c>
      <c r="B194" s="354">
        <v>4</v>
      </c>
      <c r="C194" s="355">
        <f>4*55</f>
        <v>220</v>
      </c>
      <c r="D194" s="355">
        <v>220</v>
      </c>
      <c r="E194" s="377">
        <f>B194*65.1</f>
        <v>260.39999999999998</v>
      </c>
      <c r="F194" s="855"/>
      <c r="G194" s="854"/>
      <c r="J194" s="72"/>
      <c r="K194" s="72"/>
      <c r="L194" s="48"/>
      <c r="M194" s="11"/>
    </row>
    <row r="195" spans="1:13">
      <c r="A195" s="94" t="s">
        <v>760</v>
      </c>
      <c r="B195" s="356">
        <v>2</v>
      </c>
      <c r="C195" s="357">
        <f>2*135</f>
        <v>270</v>
      </c>
      <c r="D195" s="357">
        <v>270</v>
      </c>
      <c r="E195" s="378">
        <f>B195*126</f>
        <v>252</v>
      </c>
      <c r="F195" s="850" t="s">
        <v>776</v>
      </c>
      <c r="G195" s="849">
        <v>1294.33</v>
      </c>
      <c r="J195" s="72"/>
      <c r="K195" s="72"/>
      <c r="L195" s="48"/>
      <c r="M195" s="48"/>
    </row>
    <row r="196" spans="1:13">
      <c r="A196" s="94" t="s">
        <v>761</v>
      </c>
      <c r="B196" s="356">
        <v>2</v>
      </c>
      <c r="C196" s="357">
        <f>2*135</f>
        <v>270</v>
      </c>
      <c r="D196" s="357">
        <v>248</v>
      </c>
      <c r="E196" s="378">
        <f>B196*71.4</f>
        <v>142.80000000000001</v>
      </c>
      <c r="F196" s="850"/>
      <c r="G196" s="849"/>
      <c r="J196" s="825"/>
      <c r="K196" s="825"/>
      <c r="L196" s="267"/>
      <c r="M196" s="267"/>
    </row>
    <row r="197" spans="1:13">
      <c r="A197" s="94" t="s">
        <v>762</v>
      </c>
      <c r="B197" s="356">
        <v>4</v>
      </c>
      <c r="C197" s="357">
        <f>B197*100</f>
        <v>400</v>
      </c>
      <c r="D197" s="358" t="s">
        <v>226</v>
      </c>
      <c r="E197" s="378">
        <f>B197*42</f>
        <v>168</v>
      </c>
      <c r="F197" s="850"/>
      <c r="G197" s="849"/>
    </row>
    <row r="198" spans="1:13">
      <c r="A198" s="94" t="s">
        <v>763</v>
      </c>
      <c r="B198" s="356">
        <v>1</v>
      </c>
      <c r="C198" s="357">
        <v>100</v>
      </c>
      <c r="D198" s="357">
        <v>140</v>
      </c>
      <c r="E198" s="378">
        <v>89.13</v>
      </c>
      <c r="F198" s="850"/>
      <c r="G198" s="849"/>
      <c r="J198" s="340"/>
      <c r="K198" s="72"/>
    </row>
    <row r="199" spans="1:13">
      <c r="A199" s="94" t="s">
        <v>764</v>
      </c>
      <c r="B199" s="356">
        <v>1</v>
      </c>
      <c r="C199" s="357">
        <v>75</v>
      </c>
      <c r="D199" s="357">
        <v>118</v>
      </c>
      <c r="E199" s="379">
        <v>51.45</v>
      </c>
      <c r="F199" s="850"/>
      <c r="G199" s="849"/>
      <c r="J199" s="117"/>
      <c r="K199" s="48"/>
    </row>
    <row r="200" spans="1:13">
      <c r="A200" s="94" t="s">
        <v>765</v>
      </c>
      <c r="B200" s="356">
        <v>2</v>
      </c>
      <c r="C200" s="357">
        <v>1070</v>
      </c>
      <c r="D200" s="357">
        <v>1100</v>
      </c>
      <c r="E200" s="378">
        <f>2*331.07</f>
        <v>662.14</v>
      </c>
      <c r="F200" s="850"/>
      <c r="G200" s="849"/>
    </row>
    <row r="201" spans="1:13" ht="15" thickBot="1">
      <c r="A201" s="860" t="s">
        <v>260</v>
      </c>
      <c r="B201" s="861"/>
      <c r="C201" s="380">
        <f>C193+C195+C194+C196+C197+C198+C199+C200</f>
        <v>2565</v>
      </c>
      <c r="D201" s="380">
        <f>D193+D194+D195+D196+D198+D199+D200</f>
        <v>2268</v>
      </c>
      <c r="E201" s="381">
        <f>E193+E194+E195+E196+E197+E198+E200</f>
        <v>1742.4699999999998</v>
      </c>
      <c r="F201" s="360"/>
    </row>
    <row r="202" spans="1:13" ht="15" thickBot="1"/>
    <row r="203" spans="1:13">
      <c r="A203" s="370" t="s">
        <v>788</v>
      </c>
      <c r="B203" s="371" t="s">
        <v>787</v>
      </c>
    </row>
    <row r="204" spans="1:13" ht="15" thickBot="1">
      <c r="A204" s="372" t="s">
        <v>786</v>
      </c>
      <c r="B204" s="373">
        <f>3000*5.4</f>
        <v>16200.000000000002</v>
      </c>
    </row>
    <row r="206" spans="1:13">
      <c r="A206" s="382">
        <v>46052</v>
      </c>
      <c r="B206" s="382" t="s">
        <v>795</v>
      </c>
      <c r="C206" s="293" t="s">
        <v>789</v>
      </c>
      <c r="D206" s="293" t="s">
        <v>790</v>
      </c>
      <c r="E206" s="293" t="s">
        <v>792</v>
      </c>
      <c r="F206" s="293" t="s">
        <v>793</v>
      </c>
      <c r="G206" s="293" t="s">
        <v>794</v>
      </c>
      <c r="H206" s="293" t="s">
        <v>720</v>
      </c>
    </row>
    <row r="207" spans="1:13">
      <c r="A207" s="84" t="s">
        <v>791</v>
      </c>
      <c r="B207" s="398">
        <v>495.1</v>
      </c>
      <c r="C207" s="398">
        <v>1319.7</v>
      </c>
      <c r="D207" s="398">
        <v>1250</v>
      </c>
      <c r="E207" s="398"/>
      <c r="F207" s="398">
        <v>755</v>
      </c>
      <c r="G207" s="398">
        <v>537.29</v>
      </c>
      <c r="H207" s="398">
        <v>1227.0999999999999</v>
      </c>
    </row>
    <row r="208" spans="1:13">
      <c r="B208" s="383"/>
    </row>
    <row r="209" spans="1:8" ht="15" thickBot="1"/>
    <row r="210" spans="1:8" ht="16.2" thickBot="1">
      <c r="A210" s="856" t="s">
        <v>797</v>
      </c>
      <c r="B210" s="857"/>
      <c r="C210" s="857"/>
      <c r="D210" s="857"/>
      <c r="E210" s="857"/>
      <c r="F210" s="857"/>
      <c r="G210" s="857"/>
      <c r="H210" s="858"/>
    </row>
    <row r="211" spans="1:8">
      <c r="A211" s="386" t="s">
        <v>798</v>
      </c>
      <c r="B211" s="387" t="s">
        <v>790</v>
      </c>
    </row>
    <row r="212" spans="1:8" ht="15" thickBot="1">
      <c r="A212" s="388" t="s">
        <v>799</v>
      </c>
      <c r="B212" s="210">
        <v>594</v>
      </c>
    </row>
    <row r="214" spans="1:8">
      <c r="A214" s="391">
        <v>46055</v>
      </c>
      <c r="B214" s="293" t="s">
        <v>802</v>
      </c>
      <c r="C214" s="851" t="s">
        <v>805</v>
      </c>
    </row>
    <row r="215" spans="1:8">
      <c r="A215" s="390" t="s">
        <v>804</v>
      </c>
      <c r="B215" s="293" t="s">
        <v>803</v>
      </c>
      <c r="C215" s="851"/>
    </row>
    <row r="216" spans="1:8">
      <c r="A216" s="16" t="s">
        <v>800</v>
      </c>
      <c r="B216" s="30">
        <v>59.9</v>
      </c>
    </row>
    <row r="217" spans="1:8">
      <c r="A217" s="16" t="s">
        <v>801</v>
      </c>
      <c r="B217" s="30">
        <v>119.9</v>
      </c>
    </row>
    <row r="218" spans="1:8" ht="15" thickBot="1"/>
    <row r="219" spans="1:8">
      <c r="A219" s="386" t="s">
        <v>807</v>
      </c>
      <c r="B219" s="387" t="s">
        <v>790</v>
      </c>
    </row>
    <row r="220" spans="1:8" ht="15" thickBot="1">
      <c r="A220" s="388" t="s">
        <v>806</v>
      </c>
      <c r="B220" s="210">
        <f>99*10</f>
        <v>990</v>
      </c>
    </row>
    <row r="221" spans="1:8">
      <c r="A221" s="117"/>
      <c r="B221" s="118"/>
    </row>
    <row r="222" spans="1:8">
      <c r="A222" s="392" t="s">
        <v>811</v>
      </c>
      <c r="B222" s="393" t="s">
        <v>819</v>
      </c>
      <c r="C222" s="393" t="s">
        <v>820</v>
      </c>
    </row>
    <row r="223" spans="1:8">
      <c r="A223" s="3" t="s">
        <v>812</v>
      </c>
      <c r="B223" s="30">
        <v>5.4850000000000003</v>
      </c>
      <c r="C223" s="100" t="s">
        <v>813</v>
      </c>
      <c r="D223" t="s">
        <v>832</v>
      </c>
    </row>
    <row r="224" spans="1:8">
      <c r="A224" s="394" t="s">
        <v>814</v>
      </c>
      <c r="B224" s="395">
        <v>5.38</v>
      </c>
      <c r="C224" s="396" t="s">
        <v>815</v>
      </c>
      <c r="D224" t="s">
        <v>832</v>
      </c>
    </row>
    <row r="225" spans="1:7">
      <c r="A225" s="3" t="s">
        <v>816</v>
      </c>
      <c r="B225" s="30">
        <v>5.4</v>
      </c>
      <c r="C225" s="100" t="s">
        <v>817</v>
      </c>
      <c r="D225" t="s">
        <v>832</v>
      </c>
    </row>
    <row r="226" spans="1:7">
      <c r="A226" s="3" t="s">
        <v>818</v>
      </c>
      <c r="B226" s="30">
        <v>5.4</v>
      </c>
      <c r="C226" s="100"/>
    </row>
    <row r="227" spans="1:7">
      <c r="A227" s="117"/>
      <c r="B227" s="118"/>
    </row>
    <row r="229" spans="1:7">
      <c r="A229" s="102" t="s">
        <v>808</v>
      </c>
      <c r="B229" s="293" t="s">
        <v>775</v>
      </c>
    </row>
    <row r="230" spans="1:7">
      <c r="A230" s="84" t="s">
        <v>836</v>
      </c>
      <c r="B230" s="30">
        <v>95</v>
      </c>
    </row>
    <row r="231" spans="1:7">
      <c r="A231" s="84" t="s">
        <v>838</v>
      </c>
      <c r="B231" s="30">
        <v>40</v>
      </c>
      <c r="D231" t="s">
        <v>839</v>
      </c>
    </row>
    <row r="232" spans="1:7">
      <c r="A232" s="84" t="s">
        <v>837</v>
      </c>
      <c r="B232" s="30">
        <v>65</v>
      </c>
    </row>
    <row r="233" spans="1:7">
      <c r="A233" s="84" t="s">
        <v>809</v>
      </c>
      <c r="B233" s="30"/>
    </row>
    <row r="234" spans="1:7">
      <c r="A234" s="84" t="s">
        <v>810</v>
      </c>
      <c r="B234" s="30">
        <v>1070</v>
      </c>
    </row>
    <row r="235" spans="1:7">
      <c r="A235" s="397" t="s">
        <v>260</v>
      </c>
      <c r="B235" s="346">
        <f>B230+B231+B232+B233+B234</f>
        <v>1270</v>
      </c>
    </row>
    <row r="237" spans="1:7">
      <c r="A237" s="836">
        <v>46057</v>
      </c>
      <c r="B237" s="826" t="s">
        <v>411</v>
      </c>
      <c r="C237" s="293" t="s">
        <v>283</v>
      </c>
      <c r="D237" s="293" t="s">
        <v>284</v>
      </c>
      <c r="E237" s="293" t="s">
        <v>285</v>
      </c>
      <c r="F237" s="293" t="s">
        <v>740</v>
      </c>
      <c r="G237" s="293" t="s">
        <v>822</v>
      </c>
    </row>
    <row r="238" spans="1:7">
      <c r="A238" s="836"/>
      <c r="B238" s="826"/>
      <c r="C238" s="293">
        <v>999571824</v>
      </c>
      <c r="D238" s="293" t="s">
        <v>287</v>
      </c>
      <c r="E238" s="293" t="s">
        <v>286</v>
      </c>
      <c r="F238" s="293" t="s">
        <v>741</v>
      </c>
      <c r="G238" s="293" t="s">
        <v>751</v>
      </c>
    </row>
    <row r="239" spans="1:7">
      <c r="A239" s="16" t="s">
        <v>823</v>
      </c>
      <c r="B239" s="100" t="s">
        <v>821</v>
      </c>
      <c r="C239" s="30">
        <v>20931.84</v>
      </c>
      <c r="D239" s="30"/>
      <c r="E239" s="115" t="s">
        <v>226</v>
      </c>
      <c r="F239" s="30">
        <f>6*F240</f>
        <v>12765.72</v>
      </c>
      <c r="G239" s="30">
        <v>14975.28</v>
      </c>
    </row>
    <row r="240" spans="1:7">
      <c r="A240" s="16"/>
      <c r="B240" s="100" t="s">
        <v>825</v>
      </c>
      <c r="C240" s="30">
        <v>3488.64</v>
      </c>
      <c r="D240" s="16"/>
      <c r="E240" s="100" t="s">
        <v>226</v>
      </c>
      <c r="F240" s="30">
        <v>2127.62</v>
      </c>
      <c r="G240" s="30">
        <v>2495.88</v>
      </c>
    </row>
    <row r="241" spans="1:9">
      <c r="C241" s="215"/>
      <c r="G241" s="215"/>
    </row>
    <row r="242" spans="1:9">
      <c r="A242" s="382" t="s">
        <v>827</v>
      </c>
      <c r="B242" s="293" t="s">
        <v>411</v>
      </c>
      <c r="C242" s="293" t="s">
        <v>831</v>
      </c>
    </row>
    <row r="243" spans="1:9">
      <c r="A243" s="278" t="s">
        <v>828</v>
      </c>
      <c r="B243" s="3">
        <v>100</v>
      </c>
      <c r="C243" s="859">
        <v>579.25</v>
      </c>
      <c r="D243" t="s">
        <v>857</v>
      </c>
    </row>
    <row r="244" spans="1:9">
      <c r="A244" s="84" t="s">
        <v>829</v>
      </c>
      <c r="B244" s="3">
        <v>25</v>
      </c>
      <c r="C244" s="859"/>
    </row>
    <row r="247" spans="1:9">
      <c r="A247" s="382" t="s">
        <v>826</v>
      </c>
      <c r="B247" s="293" t="s">
        <v>411</v>
      </c>
      <c r="C247" s="293" t="s">
        <v>834</v>
      </c>
      <c r="D247" s="293" t="s">
        <v>830</v>
      </c>
      <c r="G247" s="83"/>
      <c r="H247" s="83"/>
    </row>
    <row r="248" spans="1:9">
      <c r="A248" s="84" t="s">
        <v>835</v>
      </c>
      <c r="B248" s="100">
        <v>20</v>
      </c>
      <c r="C248" s="315">
        <v>740</v>
      </c>
      <c r="D248" s="30">
        <v>724.4</v>
      </c>
      <c r="E248" t="s">
        <v>857</v>
      </c>
      <c r="G248" s="117"/>
      <c r="H248" s="48"/>
    </row>
    <row r="249" spans="1:9">
      <c r="C249" s="72" t="s">
        <v>833</v>
      </c>
    </row>
    <row r="250" spans="1:9">
      <c r="C250" s="72"/>
    </row>
    <row r="251" spans="1:9">
      <c r="A251" s="401" t="s">
        <v>840</v>
      </c>
      <c r="B251" s="400" t="s">
        <v>411</v>
      </c>
      <c r="C251" s="400" t="s">
        <v>270</v>
      </c>
      <c r="D251" s="400" t="s">
        <v>850</v>
      </c>
      <c r="E251" s="400" t="s">
        <v>851</v>
      </c>
      <c r="F251" s="400" t="s">
        <v>852</v>
      </c>
      <c r="G251" s="400" t="s">
        <v>855</v>
      </c>
      <c r="H251" s="407" t="s">
        <v>757</v>
      </c>
    </row>
    <row r="252" spans="1:9">
      <c r="A252" s="84" t="s">
        <v>853</v>
      </c>
      <c r="B252" s="3">
        <v>1</v>
      </c>
      <c r="C252" s="30">
        <v>300</v>
      </c>
      <c r="D252" s="115" t="s">
        <v>226</v>
      </c>
      <c r="E252" s="115" t="s">
        <v>226</v>
      </c>
      <c r="F252" s="115" t="s">
        <v>226</v>
      </c>
      <c r="G252" s="115" t="s">
        <v>226</v>
      </c>
      <c r="H252" s="115" t="s">
        <v>226</v>
      </c>
    </row>
    <row r="253" spans="1:9">
      <c r="A253" s="84" t="s">
        <v>841</v>
      </c>
      <c r="B253" s="3">
        <v>1</v>
      </c>
      <c r="C253" s="30">
        <v>345.61</v>
      </c>
      <c r="D253" s="115" t="s">
        <v>226</v>
      </c>
      <c r="E253" s="115" t="s">
        <v>226</v>
      </c>
      <c r="F253" s="115" t="s">
        <v>226</v>
      </c>
      <c r="G253" s="115" t="s">
        <v>226</v>
      </c>
      <c r="H253" s="115" t="s">
        <v>226</v>
      </c>
    </row>
    <row r="254" spans="1:9">
      <c r="A254" s="84" t="s">
        <v>842</v>
      </c>
      <c r="B254" s="3">
        <v>2</v>
      </c>
      <c r="C254" s="30">
        <v>127.8</v>
      </c>
      <c r="D254" s="115" t="s">
        <v>226</v>
      </c>
      <c r="E254" s="115" t="s">
        <v>226</v>
      </c>
      <c r="F254" s="115" t="s">
        <v>226</v>
      </c>
      <c r="G254" s="115" t="s">
        <v>226</v>
      </c>
      <c r="H254" s="115" t="s">
        <v>226</v>
      </c>
      <c r="I254" s="417" t="s">
        <v>884</v>
      </c>
    </row>
    <row r="255" spans="1:9">
      <c r="A255" s="412" t="s">
        <v>854</v>
      </c>
      <c r="B255" s="413">
        <v>1</v>
      </c>
      <c r="C255" s="414">
        <v>805</v>
      </c>
      <c r="D255" s="415" t="s">
        <v>226</v>
      </c>
      <c r="E255" s="415" t="s">
        <v>226</v>
      </c>
      <c r="F255" s="415" t="s">
        <v>226</v>
      </c>
      <c r="G255" s="415" t="s">
        <v>226</v>
      </c>
      <c r="H255" s="415" t="s">
        <v>226</v>
      </c>
      <c r="I255" s="416"/>
    </row>
    <row r="256" spans="1:9">
      <c r="A256" s="84" t="s">
        <v>843</v>
      </c>
      <c r="B256" s="3">
        <v>1</v>
      </c>
      <c r="C256" s="30">
        <v>102.21</v>
      </c>
      <c r="D256" s="115" t="s">
        <v>226</v>
      </c>
      <c r="E256" s="115" t="s">
        <v>226</v>
      </c>
      <c r="F256" s="115" t="s">
        <v>226</v>
      </c>
      <c r="G256" s="115" t="s">
        <v>226</v>
      </c>
      <c r="H256" s="115" t="s">
        <v>226</v>
      </c>
    </row>
    <row r="257" spans="1:12">
      <c r="A257" s="402" t="s">
        <v>844</v>
      </c>
      <c r="B257" s="399">
        <v>2</v>
      </c>
      <c r="C257" s="30">
        <v>40</v>
      </c>
      <c r="D257" s="115" t="s">
        <v>226</v>
      </c>
      <c r="E257" s="115" t="s">
        <v>226</v>
      </c>
      <c r="F257" s="115" t="s">
        <v>226</v>
      </c>
      <c r="G257" s="115" t="s">
        <v>226</v>
      </c>
      <c r="H257" s="115" t="s">
        <v>226</v>
      </c>
    </row>
    <row r="258" spans="1:12">
      <c r="A258" s="402" t="s">
        <v>845</v>
      </c>
      <c r="B258" s="399">
        <v>1</v>
      </c>
      <c r="C258" s="30">
        <v>47.27</v>
      </c>
      <c r="D258" s="115" t="s">
        <v>226</v>
      </c>
      <c r="E258" s="115" t="s">
        <v>226</v>
      </c>
      <c r="F258" s="115" t="s">
        <v>226</v>
      </c>
      <c r="G258" s="115" t="s">
        <v>226</v>
      </c>
      <c r="H258" s="115" t="s">
        <v>226</v>
      </c>
    </row>
    <row r="259" spans="1:12">
      <c r="A259" s="84" t="s">
        <v>846</v>
      </c>
      <c r="B259" s="3">
        <v>1</v>
      </c>
      <c r="C259" s="30">
        <v>16.760000000000002</v>
      </c>
      <c r="D259" s="30">
        <v>90</v>
      </c>
      <c r="E259" s="30">
        <v>65.650000000000006</v>
      </c>
      <c r="F259" s="115" t="s">
        <v>226</v>
      </c>
      <c r="G259" s="116">
        <v>70</v>
      </c>
      <c r="H259" s="115" t="s">
        <v>226</v>
      </c>
    </row>
    <row r="260" spans="1:12">
      <c r="A260" s="84" t="s">
        <v>847</v>
      </c>
      <c r="B260" s="3">
        <v>1</v>
      </c>
      <c r="C260" s="30">
        <v>50.28</v>
      </c>
      <c r="D260" s="30">
        <v>120</v>
      </c>
      <c r="E260" s="30">
        <v>148.44999999999999</v>
      </c>
      <c r="F260" s="115" t="s">
        <v>226</v>
      </c>
      <c r="G260" s="116">
        <v>73.94</v>
      </c>
      <c r="H260" s="115" t="s">
        <v>226</v>
      </c>
    </row>
    <row r="261" spans="1:12">
      <c r="A261" s="84" t="s">
        <v>856</v>
      </c>
      <c r="B261" s="3">
        <v>1</v>
      </c>
      <c r="C261" s="100" t="s">
        <v>226</v>
      </c>
      <c r="D261" s="100" t="s">
        <v>226</v>
      </c>
      <c r="E261" s="100" t="s">
        <v>226</v>
      </c>
      <c r="F261" s="100" t="s">
        <v>226</v>
      </c>
      <c r="G261" s="100" t="s">
        <v>226</v>
      </c>
      <c r="H261" s="30">
        <v>198</v>
      </c>
    </row>
    <row r="262" spans="1:12">
      <c r="A262" s="84" t="s">
        <v>756</v>
      </c>
      <c r="B262" s="3">
        <v>1</v>
      </c>
      <c r="C262" s="100" t="s">
        <v>226</v>
      </c>
      <c r="D262" s="100" t="s">
        <v>226</v>
      </c>
      <c r="E262" s="100" t="s">
        <v>226</v>
      </c>
      <c r="F262" s="100" t="s">
        <v>226</v>
      </c>
      <c r="G262" s="100" t="s">
        <v>226</v>
      </c>
      <c r="H262" s="30">
        <v>120</v>
      </c>
    </row>
    <row r="263" spans="1:12">
      <c r="A263" s="84" t="s">
        <v>860</v>
      </c>
      <c r="B263" s="3">
        <v>1</v>
      </c>
      <c r="C263" s="100" t="s">
        <v>226</v>
      </c>
      <c r="D263" s="100" t="s">
        <v>226</v>
      </c>
      <c r="E263" s="100" t="s">
        <v>226</v>
      </c>
      <c r="F263" s="100" t="s">
        <v>226</v>
      </c>
      <c r="G263" s="100" t="s">
        <v>226</v>
      </c>
      <c r="H263" s="30">
        <v>290</v>
      </c>
    </row>
    <row r="264" spans="1:12">
      <c r="A264" s="837" t="s">
        <v>260</v>
      </c>
      <c r="B264" s="837"/>
      <c r="C264" s="346">
        <f>C252+C253+C254+C255+C256+C257+C258+C259+C260</f>
        <v>1834.9299999999998</v>
      </c>
      <c r="D264" s="346">
        <f>D259+D260</f>
        <v>210</v>
      </c>
      <c r="E264" s="346">
        <f>E259+E260</f>
        <v>214.1</v>
      </c>
      <c r="F264" s="405" t="s">
        <v>226</v>
      </c>
      <c r="G264" s="406">
        <f>G259+G260</f>
        <v>143.94</v>
      </c>
      <c r="H264" s="406">
        <f>H261+H262+H263</f>
        <v>608</v>
      </c>
    </row>
    <row r="265" spans="1:12">
      <c r="G265" s="117"/>
      <c r="H265" s="72"/>
    </row>
    <row r="266" spans="1:12">
      <c r="G266" s="117"/>
      <c r="H266" s="48"/>
    </row>
    <row r="267" spans="1:12">
      <c r="A267" s="293" t="s">
        <v>848</v>
      </c>
      <c r="B267" s="293" t="s">
        <v>411</v>
      </c>
      <c r="C267" s="293" t="s">
        <v>295</v>
      </c>
      <c r="D267" s="293" t="s">
        <v>271</v>
      </c>
      <c r="E267" s="293" t="s">
        <v>420</v>
      </c>
    </row>
    <row r="268" spans="1:12">
      <c r="A268" s="402" t="s">
        <v>849</v>
      </c>
      <c r="B268" s="399">
        <v>1</v>
      </c>
      <c r="C268" s="114">
        <v>50</v>
      </c>
      <c r="D268" s="114" t="s">
        <v>226</v>
      </c>
      <c r="E268" s="116">
        <v>75</v>
      </c>
      <c r="G268" s="117"/>
      <c r="H268" s="117"/>
      <c r="I268" s="72"/>
      <c r="J268" s="72"/>
      <c r="K268" s="72"/>
      <c r="L268" s="72"/>
    </row>
    <row r="269" spans="1:12">
      <c r="A269" s="84" t="s">
        <v>846</v>
      </c>
      <c r="B269" s="3">
        <v>1</v>
      </c>
      <c r="C269" s="116">
        <v>32</v>
      </c>
      <c r="D269" s="403">
        <v>63.28</v>
      </c>
      <c r="E269" s="116">
        <v>60</v>
      </c>
      <c r="G269" s="72"/>
      <c r="H269" s="117"/>
      <c r="I269" s="72"/>
      <c r="J269" s="48"/>
      <c r="K269" s="1"/>
      <c r="L269" s="1"/>
    </row>
    <row r="270" spans="1:12">
      <c r="A270" s="84" t="s">
        <v>847</v>
      </c>
      <c r="B270" s="3">
        <v>1</v>
      </c>
      <c r="C270" s="219">
        <v>50</v>
      </c>
      <c r="D270" s="403">
        <v>66.72</v>
      </c>
      <c r="E270" s="219">
        <v>60</v>
      </c>
      <c r="G270" s="72"/>
      <c r="H270" s="117"/>
      <c r="I270" s="72"/>
      <c r="J270" s="48"/>
      <c r="K270" s="1"/>
      <c r="L270" s="1"/>
    </row>
    <row r="271" spans="1:12">
      <c r="A271" s="837" t="s">
        <v>260</v>
      </c>
      <c r="B271" s="837"/>
      <c r="C271" s="404">
        <f>C268+C269+C270</f>
        <v>132</v>
      </c>
      <c r="D271" s="404">
        <f>D269+D270</f>
        <v>130</v>
      </c>
      <c r="E271" s="404">
        <f t="shared" ref="E271" si="0">E268+E269+E270</f>
        <v>195</v>
      </c>
      <c r="G271" s="72"/>
      <c r="H271" s="117"/>
      <c r="I271" s="72"/>
      <c r="J271" s="48"/>
      <c r="K271" s="1"/>
      <c r="L271" s="1"/>
    </row>
    <row r="272" spans="1:12">
      <c r="G272" s="72"/>
      <c r="H272" s="117"/>
      <c r="I272" s="72"/>
      <c r="J272" s="11"/>
      <c r="K272" s="1"/>
      <c r="L272" s="1"/>
    </row>
    <row r="273" spans="1:12">
      <c r="A273" s="382" t="s">
        <v>858</v>
      </c>
      <c r="B273" s="426" t="s">
        <v>600</v>
      </c>
      <c r="C273" s="103" t="s">
        <v>891</v>
      </c>
      <c r="H273" s="117"/>
      <c r="I273" s="72"/>
      <c r="J273" s="48"/>
      <c r="K273" s="1"/>
      <c r="L273" s="1"/>
    </row>
    <row r="274" spans="1:12">
      <c r="A274" s="84" t="s">
        <v>859</v>
      </c>
      <c r="B274" s="425">
        <v>777.78</v>
      </c>
      <c r="C274" s="30">
        <v>1200</v>
      </c>
      <c r="G274" s="117"/>
      <c r="H274" s="117"/>
      <c r="I274" s="72"/>
      <c r="J274" s="48"/>
      <c r="K274" s="1"/>
      <c r="L274" s="1"/>
    </row>
    <row r="275" spans="1:12">
      <c r="A275" s="117"/>
      <c r="G275" s="117"/>
      <c r="H275" s="117"/>
      <c r="I275" s="72"/>
      <c r="J275" s="48"/>
      <c r="K275" s="1"/>
      <c r="L275" s="1"/>
    </row>
    <row r="276" spans="1:12">
      <c r="A276" s="401" t="s">
        <v>867</v>
      </c>
      <c r="B276" s="411" t="s">
        <v>411</v>
      </c>
      <c r="C276" s="411" t="s">
        <v>874</v>
      </c>
      <c r="G276" s="117"/>
      <c r="H276" s="117"/>
      <c r="I276" s="72"/>
      <c r="J276" s="48"/>
      <c r="K276" s="1"/>
      <c r="L276" s="1"/>
    </row>
    <row r="277" spans="1:12">
      <c r="A277" s="84" t="s">
        <v>869</v>
      </c>
      <c r="B277" s="3">
        <v>1</v>
      </c>
      <c r="C277" s="30">
        <v>84</v>
      </c>
      <c r="D277" s="848" t="s">
        <v>832</v>
      </c>
      <c r="G277" s="117"/>
      <c r="H277" s="117"/>
      <c r="I277" s="72"/>
      <c r="J277" s="48"/>
      <c r="K277" s="1"/>
      <c r="L277" s="1"/>
    </row>
    <row r="278" spans="1:12">
      <c r="A278" s="84" t="s">
        <v>870</v>
      </c>
      <c r="B278" s="3">
        <v>1</v>
      </c>
      <c r="C278" s="30">
        <v>309</v>
      </c>
      <c r="D278" s="848"/>
      <c r="G278" s="117"/>
      <c r="H278" s="117"/>
      <c r="I278" s="72"/>
      <c r="J278" s="1"/>
      <c r="K278" s="1"/>
      <c r="L278" s="48"/>
    </row>
    <row r="279" spans="1:12">
      <c r="A279" s="84" t="s">
        <v>871</v>
      </c>
      <c r="B279" s="3">
        <v>1</v>
      </c>
      <c r="C279" s="30">
        <v>12.99</v>
      </c>
      <c r="D279" s="848"/>
      <c r="G279" s="117"/>
      <c r="H279" s="117"/>
      <c r="I279" s="72"/>
      <c r="J279" s="1"/>
      <c r="K279" s="1"/>
      <c r="L279" s="48"/>
    </row>
    <row r="280" spans="1:12">
      <c r="A280" s="84" t="s">
        <v>872</v>
      </c>
      <c r="B280" s="3">
        <v>1</v>
      </c>
      <c r="C280" s="30">
        <v>7.99</v>
      </c>
      <c r="D280" s="848"/>
      <c r="G280" s="117"/>
      <c r="H280" s="117"/>
      <c r="I280" s="72"/>
      <c r="J280" s="1"/>
      <c r="K280" s="1"/>
      <c r="L280" s="48"/>
    </row>
    <row r="281" spans="1:12">
      <c r="A281" s="84" t="s">
        <v>873</v>
      </c>
      <c r="B281" s="3">
        <v>2</v>
      </c>
      <c r="C281" s="30">
        <v>178</v>
      </c>
      <c r="D281" s="848"/>
      <c r="G281" s="117"/>
      <c r="H281" s="825"/>
      <c r="I281" s="825"/>
      <c r="J281" s="267"/>
      <c r="L281" s="215"/>
    </row>
    <row r="282" spans="1:12">
      <c r="A282" s="84" t="s">
        <v>868</v>
      </c>
      <c r="B282" s="3">
        <v>1</v>
      </c>
      <c r="C282" s="30">
        <v>270</v>
      </c>
      <c r="D282" s="848"/>
      <c r="G282" s="117"/>
      <c r="H282" s="48"/>
    </row>
    <row r="283" spans="1:12">
      <c r="A283" s="843" t="s">
        <v>260</v>
      </c>
      <c r="B283" s="844"/>
      <c r="C283" s="404">
        <v>842.98</v>
      </c>
      <c r="G283" s="117"/>
      <c r="H283" s="83"/>
      <c r="I283" s="72"/>
      <c r="J283" s="1"/>
    </row>
    <row r="284" spans="1:12">
      <c r="G284" s="117"/>
      <c r="H284" s="117"/>
      <c r="I284" s="48"/>
      <c r="J284" s="48"/>
    </row>
    <row r="285" spans="1:12">
      <c r="A285" s="408" t="s">
        <v>861</v>
      </c>
      <c r="B285" s="400" t="s">
        <v>411</v>
      </c>
      <c r="C285" s="400" t="s">
        <v>775</v>
      </c>
      <c r="G285" s="117"/>
      <c r="H285" s="48"/>
    </row>
    <row r="286" spans="1:12">
      <c r="A286" s="84" t="s">
        <v>862</v>
      </c>
      <c r="B286" s="389">
        <v>2</v>
      </c>
      <c r="C286" s="398">
        <v>110</v>
      </c>
      <c r="G286" s="117"/>
      <c r="H286" s="117"/>
      <c r="I286" s="420"/>
      <c r="J286" s="420"/>
    </row>
    <row r="287" spans="1:12">
      <c r="G287" s="117"/>
      <c r="H287" s="117"/>
      <c r="I287" s="72"/>
      <c r="J287" s="48"/>
    </row>
    <row r="288" spans="1:12">
      <c r="A288" s="401" t="s">
        <v>863</v>
      </c>
      <c r="B288" s="400" t="s">
        <v>411</v>
      </c>
      <c r="C288" s="409"/>
      <c r="G288" s="270"/>
      <c r="H288" s="117"/>
      <c r="I288" s="72"/>
      <c r="J288" s="48"/>
    </row>
    <row r="289" spans="1:11">
      <c r="A289" s="84" t="s">
        <v>866</v>
      </c>
      <c r="B289" s="389">
        <v>1</v>
      </c>
      <c r="C289" s="410"/>
      <c r="H289" s="117"/>
      <c r="I289" s="72"/>
      <c r="J289" s="48"/>
    </row>
    <row r="290" spans="1:11">
      <c r="G290" s="839"/>
      <c r="H290" s="117"/>
      <c r="I290" s="72"/>
      <c r="J290" s="48"/>
      <c r="K290" s="72"/>
    </row>
    <row r="291" spans="1:11">
      <c r="A291" s="408" t="s">
        <v>865</v>
      </c>
      <c r="B291" s="400" t="s">
        <v>411</v>
      </c>
      <c r="C291" s="409"/>
      <c r="G291" s="839"/>
      <c r="H291" s="117"/>
      <c r="I291" s="72"/>
      <c r="J291" s="48"/>
      <c r="K291" s="72"/>
    </row>
    <row r="292" spans="1:11">
      <c r="A292" s="84" t="s">
        <v>864</v>
      </c>
      <c r="B292" s="389">
        <v>1</v>
      </c>
      <c r="C292" s="410"/>
      <c r="H292" s="117"/>
      <c r="I292" s="72"/>
      <c r="J292" s="48"/>
      <c r="K292" s="48"/>
    </row>
    <row r="293" spans="1:11">
      <c r="B293" s="117"/>
      <c r="H293" s="825"/>
      <c r="I293" s="825"/>
      <c r="J293" s="272"/>
      <c r="K293" s="48"/>
    </row>
    <row r="294" spans="1:11">
      <c r="A294" s="102" t="s">
        <v>875</v>
      </c>
      <c r="B294" s="293" t="s">
        <v>878</v>
      </c>
    </row>
    <row r="295" spans="1:11">
      <c r="A295" s="16" t="s">
        <v>876</v>
      </c>
      <c r="B295" s="30">
        <v>75</v>
      </c>
      <c r="G295" s="83"/>
      <c r="H295" s="72"/>
      <c r="I295" s="72"/>
    </row>
    <row r="296" spans="1:11">
      <c r="A296" s="16" t="s">
        <v>877</v>
      </c>
      <c r="B296" s="30">
        <v>31.9</v>
      </c>
      <c r="G296" s="286"/>
      <c r="H296" s="72"/>
      <c r="I296" s="829"/>
    </row>
    <row r="297" spans="1:11">
      <c r="A297" s="397" t="s">
        <v>260</v>
      </c>
      <c r="B297" s="346">
        <f>B295+B296</f>
        <v>106.9</v>
      </c>
      <c r="G297" s="117"/>
      <c r="H297" s="72"/>
      <c r="I297" s="829"/>
    </row>
    <row r="299" spans="1:11">
      <c r="G299" s="83"/>
      <c r="H299" s="72"/>
      <c r="I299" s="72"/>
      <c r="J299" s="72"/>
    </row>
    <row r="300" spans="1:11">
      <c r="A300" s="401" t="s">
        <v>879</v>
      </c>
      <c r="B300" s="400" t="s">
        <v>881</v>
      </c>
      <c r="G300" s="117"/>
      <c r="H300" s="1"/>
      <c r="I300" s="272"/>
      <c r="J300" s="48"/>
    </row>
    <row r="301" spans="1:11">
      <c r="A301" s="16" t="s">
        <v>880</v>
      </c>
      <c r="B301" s="398">
        <v>315</v>
      </c>
      <c r="I301" s="72"/>
    </row>
    <row r="303" spans="1:11">
      <c r="A303" s="401" t="s">
        <v>882</v>
      </c>
      <c r="B303" s="400" t="s">
        <v>411</v>
      </c>
      <c r="C303" s="400" t="s">
        <v>905</v>
      </c>
      <c r="D303" s="400" t="s">
        <v>906</v>
      </c>
      <c r="E303" s="400" t="s">
        <v>238</v>
      </c>
    </row>
    <row r="304" spans="1:11">
      <c r="A304" s="16" t="s">
        <v>883</v>
      </c>
      <c r="B304" s="3">
        <v>4</v>
      </c>
      <c r="C304" s="398">
        <v>177.77</v>
      </c>
      <c r="D304" s="398">
        <v>50.49</v>
      </c>
      <c r="E304" s="406">
        <f>D304+C304</f>
        <v>228.26000000000002</v>
      </c>
    </row>
    <row r="306" spans="1:10">
      <c r="A306" s="418" t="s">
        <v>887</v>
      </c>
      <c r="B306" s="419" t="s">
        <v>885</v>
      </c>
    </row>
    <row r="307" spans="1:10">
      <c r="A307" s="16" t="s">
        <v>886</v>
      </c>
      <c r="B307" s="450">
        <v>1140</v>
      </c>
      <c r="C307" t="s">
        <v>958</v>
      </c>
    </row>
    <row r="309" spans="1:10">
      <c r="A309" s="218" t="s">
        <v>888</v>
      </c>
      <c r="B309" s="218" t="s">
        <v>890</v>
      </c>
    </row>
    <row r="310" spans="1:10">
      <c r="A310" s="16" t="s">
        <v>889</v>
      </c>
      <c r="B310" s="30">
        <f>72*2</f>
        <v>144</v>
      </c>
    </row>
    <row r="312" spans="1:10">
      <c r="A312" s="102" t="s">
        <v>892</v>
      </c>
      <c r="B312" s="293" t="s">
        <v>894</v>
      </c>
    </row>
    <row r="313" spans="1:10">
      <c r="A313" s="16" t="s">
        <v>893</v>
      </c>
      <c r="B313" s="16"/>
    </row>
    <row r="315" spans="1:10">
      <c r="A315" s="102" t="s">
        <v>904</v>
      </c>
      <c r="B315" s="102" t="s">
        <v>33</v>
      </c>
      <c r="C315" s="103" t="s">
        <v>118</v>
      </c>
      <c r="G315" s="833" t="s">
        <v>900</v>
      </c>
      <c r="H315" s="833"/>
      <c r="I315" s="833"/>
      <c r="J315" s="833"/>
    </row>
    <row r="316" spans="1:10">
      <c r="A316" s="439" t="s">
        <v>895</v>
      </c>
      <c r="B316" s="440" t="s">
        <v>901</v>
      </c>
      <c r="C316" s="115" t="s">
        <v>527</v>
      </c>
      <c r="G316" s="838" t="s">
        <v>896</v>
      </c>
      <c r="H316" s="838"/>
      <c r="I316" s="838"/>
      <c r="J316" s="838"/>
    </row>
    <row r="317" spans="1:10">
      <c r="A317" s="439" t="s">
        <v>933</v>
      </c>
      <c r="B317" s="440" t="s">
        <v>902</v>
      </c>
      <c r="C317" s="30">
        <v>2000</v>
      </c>
      <c r="D317" s="441">
        <v>0.5</v>
      </c>
      <c r="G317" s="798" t="s">
        <v>899</v>
      </c>
      <c r="H317" s="798"/>
      <c r="I317" s="798"/>
      <c r="J317" s="798"/>
    </row>
    <row r="318" spans="1:10">
      <c r="A318" s="439" t="s">
        <v>898</v>
      </c>
      <c r="B318" s="440" t="s">
        <v>903</v>
      </c>
      <c r="C318" s="30">
        <v>4400</v>
      </c>
      <c r="G318" s="840" t="s">
        <v>897</v>
      </c>
      <c r="H318" s="841"/>
      <c r="I318" s="841"/>
      <c r="J318" s="842"/>
    </row>
    <row r="320" spans="1:10">
      <c r="A320" s="382">
        <v>46066</v>
      </c>
      <c r="B320" s="293" t="s">
        <v>411</v>
      </c>
    </row>
    <row r="321" spans="1:8">
      <c r="A321" s="16" t="s">
        <v>915</v>
      </c>
      <c r="B321" s="100">
        <v>10</v>
      </c>
    </row>
    <row r="322" spans="1:8">
      <c r="A322" s="16" t="s">
        <v>916</v>
      </c>
      <c r="B322" s="100">
        <v>10</v>
      </c>
    </row>
    <row r="323" spans="1:8">
      <c r="A323" s="16" t="s">
        <v>907</v>
      </c>
      <c r="B323" s="100" t="s">
        <v>908</v>
      </c>
    </row>
    <row r="324" spans="1:8">
      <c r="A324" s="16" t="s">
        <v>917</v>
      </c>
      <c r="B324" s="100">
        <v>80</v>
      </c>
    </row>
    <row r="325" spans="1:8">
      <c r="A325" s="16" t="s">
        <v>909</v>
      </c>
      <c r="B325" s="100">
        <v>2</v>
      </c>
    </row>
    <row r="326" spans="1:8">
      <c r="A326" s="16" t="s">
        <v>910</v>
      </c>
      <c r="B326" s="100" t="s">
        <v>908</v>
      </c>
    </row>
    <row r="327" spans="1:8">
      <c r="A327" s="16" t="s">
        <v>911</v>
      </c>
      <c r="B327" s="100" t="s">
        <v>254</v>
      </c>
    </row>
    <row r="328" spans="1:8">
      <c r="A328" s="16"/>
      <c r="B328" s="16"/>
    </row>
    <row r="331" spans="1:8">
      <c r="A331" s="102" t="s">
        <v>913</v>
      </c>
      <c r="B331" s="293" t="s">
        <v>179</v>
      </c>
    </row>
    <row r="332" spans="1:8">
      <c r="A332" s="16" t="s">
        <v>912</v>
      </c>
      <c r="B332" s="30">
        <v>5.49</v>
      </c>
      <c r="C332" s="256"/>
    </row>
    <row r="333" spans="1:8">
      <c r="A333" s="16" t="s">
        <v>326</v>
      </c>
      <c r="B333" s="30">
        <v>5.42</v>
      </c>
    </row>
    <row r="334" spans="1:8" ht="15" thickBot="1">
      <c r="H334" s="1"/>
    </row>
    <row r="335" spans="1:8">
      <c r="A335" s="427" t="s">
        <v>918</v>
      </c>
      <c r="B335" s="430" t="s">
        <v>602</v>
      </c>
      <c r="C335" s="430" t="s">
        <v>600</v>
      </c>
      <c r="D335" s="430" t="s">
        <v>920</v>
      </c>
      <c r="E335" s="880" t="s">
        <v>926</v>
      </c>
      <c r="F335" s="881"/>
      <c r="G335" s="72" t="s">
        <v>932</v>
      </c>
      <c r="H335" s="72"/>
    </row>
    <row r="336" spans="1:8" ht="15" thickBot="1">
      <c r="A336" s="845" t="s">
        <v>773</v>
      </c>
      <c r="B336" s="431" t="s">
        <v>603</v>
      </c>
      <c r="C336" s="431" t="s">
        <v>919</v>
      </c>
      <c r="D336" s="431" t="s">
        <v>921</v>
      </c>
      <c r="E336" s="868" t="s">
        <v>959</v>
      </c>
      <c r="F336" s="869"/>
    </row>
    <row r="337" spans="1:9">
      <c r="A337" s="846"/>
      <c r="B337" s="428">
        <v>1772</v>
      </c>
      <c r="C337" s="428">
        <v>1888.89</v>
      </c>
      <c r="D337" s="432">
        <v>1296</v>
      </c>
      <c r="E337" s="434">
        <v>2905</v>
      </c>
      <c r="F337" s="435">
        <v>1310</v>
      </c>
      <c r="G337" t="s">
        <v>927</v>
      </c>
      <c r="H337" s="339"/>
    </row>
    <row r="338" spans="1:9" ht="15" thickBot="1">
      <c r="A338" s="308" t="s">
        <v>924</v>
      </c>
      <c r="B338" s="429" t="s">
        <v>923</v>
      </c>
      <c r="C338" s="429" t="s">
        <v>925</v>
      </c>
      <c r="D338" s="433" t="s">
        <v>922</v>
      </c>
      <c r="E338" s="436"/>
      <c r="F338" s="437">
        <v>1280</v>
      </c>
      <c r="H338" s="272"/>
    </row>
    <row r="340" spans="1:9" ht="15.6">
      <c r="A340" s="443" t="s">
        <v>940</v>
      </c>
      <c r="B340" s="354" t="s">
        <v>936</v>
      </c>
      <c r="C340" s="354" t="s">
        <v>55</v>
      </c>
      <c r="E340" s="69"/>
      <c r="F340" s="70" t="s">
        <v>945</v>
      </c>
      <c r="G340" s="70" t="s">
        <v>946</v>
      </c>
      <c r="H340" s="70" t="s">
        <v>947</v>
      </c>
      <c r="I340" s="70" t="s">
        <v>948</v>
      </c>
    </row>
    <row r="341" spans="1:9">
      <c r="A341" s="419" t="s">
        <v>935</v>
      </c>
      <c r="B341" s="419" t="s">
        <v>938</v>
      </c>
      <c r="C341" s="444">
        <v>590.99</v>
      </c>
      <c r="E341" s="447" t="s">
        <v>944</v>
      </c>
      <c r="F341" s="1">
        <f>C341/20</f>
        <v>29.549500000000002</v>
      </c>
      <c r="G341" s="1">
        <f>C341</f>
        <v>590.99</v>
      </c>
      <c r="H341" s="1" t="s">
        <v>18</v>
      </c>
    </row>
    <row r="342" spans="1:9">
      <c r="A342" s="419" t="s">
        <v>934</v>
      </c>
      <c r="B342" s="419" t="s">
        <v>937</v>
      </c>
      <c r="C342" s="445">
        <v>6679.93</v>
      </c>
      <c r="D342" s="446" t="s">
        <v>939</v>
      </c>
      <c r="E342" s="447" t="s">
        <v>934</v>
      </c>
      <c r="F342" s="1">
        <f>G342/20</f>
        <v>31.961000000000002</v>
      </c>
      <c r="G342" s="1">
        <v>639.22</v>
      </c>
      <c r="H342" s="1">
        <v>6679.93</v>
      </c>
      <c r="I342" s="1" t="s">
        <v>949</v>
      </c>
    </row>
    <row r="343" spans="1:9">
      <c r="B343" s="49"/>
      <c r="C343" s="442"/>
      <c r="E343" s="215"/>
    </row>
    <row r="344" spans="1:9">
      <c r="F344" s="70" t="s">
        <v>950</v>
      </c>
    </row>
    <row r="345" spans="1:9">
      <c r="A345" s="293" t="s">
        <v>32</v>
      </c>
      <c r="B345" s="293" t="s">
        <v>55</v>
      </c>
      <c r="C345" s="293" t="s">
        <v>319</v>
      </c>
      <c r="D345" s="333" t="s">
        <v>931</v>
      </c>
      <c r="F345" s="754">
        <f>F341-F342</f>
        <v>-2.4115000000000002</v>
      </c>
    </row>
    <row r="346" spans="1:9">
      <c r="A346" s="438">
        <v>46360</v>
      </c>
      <c r="B346" s="30">
        <v>20</v>
      </c>
      <c r="C346" s="16" t="s">
        <v>928</v>
      </c>
      <c r="D346" s="16" t="s">
        <v>930</v>
      </c>
      <c r="E346" t="s">
        <v>832</v>
      </c>
      <c r="F346" s="754"/>
    </row>
    <row r="347" spans="1:9">
      <c r="A347" s="438">
        <v>46366</v>
      </c>
      <c r="B347" s="30">
        <v>55</v>
      </c>
      <c r="C347" s="16" t="s">
        <v>928</v>
      </c>
      <c r="D347" s="16" t="s">
        <v>930</v>
      </c>
      <c r="E347" t="s">
        <v>832</v>
      </c>
    </row>
    <row r="348" spans="1:9">
      <c r="A348" s="438">
        <v>46366</v>
      </c>
      <c r="B348" s="30">
        <v>145.69</v>
      </c>
      <c r="C348" s="16" t="s">
        <v>929</v>
      </c>
      <c r="D348" s="16" t="s">
        <v>929</v>
      </c>
      <c r="E348" t="s">
        <v>832</v>
      </c>
    </row>
    <row r="349" spans="1:9">
      <c r="A349" s="438">
        <v>46367</v>
      </c>
      <c r="B349" s="30">
        <v>34</v>
      </c>
      <c r="C349" s="16" t="s">
        <v>928</v>
      </c>
      <c r="D349" s="16" t="s">
        <v>930</v>
      </c>
      <c r="E349" t="s">
        <v>832</v>
      </c>
    </row>
    <row r="350" spans="1:9">
      <c r="A350" s="438">
        <v>46373</v>
      </c>
      <c r="B350" s="30">
        <v>60</v>
      </c>
      <c r="C350" s="16" t="s">
        <v>928</v>
      </c>
      <c r="D350" s="16" t="s">
        <v>930</v>
      </c>
      <c r="E350" t="s">
        <v>832</v>
      </c>
    </row>
    <row r="351" spans="1:9">
      <c r="A351" s="438">
        <v>46374</v>
      </c>
      <c r="B351" s="30">
        <v>48</v>
      </c>
      <c r="C351" s="16" t="s">
        <v>928</v>
      </c>
      <c r="D351" s="16" t="s">
        <v>930</v>
      </c>
      <c r="E351" t="s">
        <v>832</v>
      </c>
    </row>
    <row r="353" spans="1:6">
      <c r="A353" s="401" t="s">
        <v>942</v>
      </c>
      <c r="B353" s="400" t="s">
        <v>411</v>
      </c>
      <c r="C353" s="400" t="s">
        <v>941</v>
      </c>
    </row>
    <row r="354" spans="1:6">
      <c r="A354" s="84" t="s">
        <v>943</v>
      </c>
      <c r="B354" s="3">
        <v>4</v>
      </c>
      <c r="C354" s="444">
        <v>1082.83</v>
      </c>
    </row>
    <row r="355" spans="1:6" ht="15" thickBot="1"/>
    <row r="356" spans="1:6" ht="15" thickBot="1">
      <c r="A356" s="296" t="s">
        <v>951</v>
      </c>
      <c r="B356" s="297" t="s">
        <v>643</v>
      </c>
      <c r="C356" s="297" t="s">
        <v>644</v>
      </c>
      <c r="D356" s="297" t="s">
        <v>957</v>
      </c>
      <c r="E356" s="298" t="s">
        <v>646</v>
      </c>
      <c r="F356" s="291" t="s">
        <v>956</v>
      </c>
    </row>
    <row r="357" spans="1:6">
      <c r="A357" s="281" t="s">
        <v>952</v>
      </c>
      <c r="B357" s="282">
        <f>219.9*2</f>
        <v>439.8</v>
      </c>
      <c r="C357" s="282">
        <f>188*2</f>
        <v>376</v>
      </c>
      <c r="D357" s="282">
        <v>499.8</v>
      </c>
      <c r="E357" s="282">
        <f>378*2</f>
        <v>756</v>
      </c>
      <c r="F357" s="282">
        <v>499.9</v>
      </c>
    </row>
    <row r="358" spans="1:6">
      <c r="F358" s="165" t="s">
        <v>627</v>
      </c>
    </row>
    <row r="359" spans="1:6">
      <c r="A359" s="448" t="s">
        <v>954</v>
      </c>
      <c r="B359" s="390" t="s">
        <v>189</v>
      </c>
      <c r="C359" s="449" t="s">
        <v>955</v>
      </c>
    </row>
    <row r="360" spans="1:6">
      <c r="A360" s="16" t="s">
        <v>953</v>
      </c>
      <c r="B360" s="315">
        <v>150</v>
      </c>
      <c r="C360" s="16"/>
    </row>
    <row r="361" spans="1:6">
      <c r="B361" s="165" t="s">
        <v>627</v>
      </c>
    </row>
    <row r="362" spans="1:6" ht="15" thickBot="1"/>
    <row r="363" spans="1:6">
      <c r="A363" s="453" t="s">
        <v>960</v>
      </c>
      <c r="B363" s="454" t="s">
        <v>963</v>
      </c>
      <c r="C363" s="454" t="s">
        <v>161</v>
      </c>
      <c r="D363" s="314" t="s">
        <v>662</v>
      </c>
    </row>
    <row r="364" spans="1:6" ht="15" thickBot="1">
      <c r="A364" s="455" t="s">
        <v>966</v>
      </c>
      <c r="B364" s="456" t="s">
        <v>964</v>
      </c>
      <c r="C364" s="456" t="s">
        <v>965</v>
      </c>
      <c r="D364" s="460" t="s">
        <v>976</v>
      </c>
      <c r="E364" s="117"/>
      <c r="F364" s="72"/>
    </row>
    <row r="365" spans="1:6">
      <c r="A365" s="461" t="s">
        <v>961</v>
      </c>
      <c r="B365" s="452" t="s">
        <v>977</v>
      </c>
      <c r="C365" s="428" t="s">
        <v>983</v>
      </c>
      <c r="D365" s="345" t="s">
        <v>979</v>
      </c>
      <c r="E365" t="s">
        <v>981</v>
      </c>
      <c r="F365" s="48"/>
    </row>
    <row r="366" spans="1:6">
      <c r="A366" s="84" t="s">
        <v>962</v>
      </c>
      <c r="B366" s="345" t="s">
        <v>978</v>
      </c>
      <c r="C366" s="345" t="s">
        <v>982</v>
      </c>
      <c r="D366" s="345" t="s">
        <v>980</v>
      </c>
      <c r="F366" s="48"/>
    </row>
    <row r="367" spans="1:6" ht="15" thickBot="1"/>
    <row r="368" spans="1:6" ht="15" thickBot="1">
      <c r="A368" s="457" t="s">
        <v>968</v>
      </c>
      <c r="B368" s="458" t="s">
        <v>666</v>
      </c>
      <c r="C368" s="459" t="s">
        <v>967</v>
      </c>
      <c r="D368" s="883" t="s">
        <v>697</v>
      </c>
      <c r="E368" s="884"/>
      <c r="F368" s="72"/>
    </row>
    <row r="369" spans="1:10">
      <c r="A369" s="876" t="s">
        <v>969</v>
      </c>
      <c r="B369" s="471" t="s">
        <v>970</v>
      </c>
      <c r="C369" s="472" t="s">
        <v>971</v>
      </c>
      <c r="D369" s="830" t="s">
        <v>972</v>
      </c>
      <c r="E369" s="831"/>
      <c r="F369" s="48"/>
    </row>
    <row r="370" spans="1:10" ht="15" thickBot="1">
      <c r="A370" s="877"/>
      <c r="B370" s="30"/>
      <c r="C370" s="315"/>
      <c r="D370" s="473">
        <v>1002.13</v>
      </c>
      <c r="E370" s="3" t="s">
        <v>973</v>
      </c>
      <c r="F370" s="451"/>
    </row>
    <row r="371" spans="1:10">
      <c r="B371" s="30"/>
      <c r="C371" s="315"/>
      <c r="D371" s="315">
        <v>1075.46</v>
      </c>
      <c r="E371" s="3" t="s">
        <v>975</v>
      </c>
      <c r="F371" s="48"/>
      <c r="G371" s="451"/>
      <c r="I371" s="780"/>
      <c r="J371" s="780"/>
    </row>
    <row r="372" spans="1:10">
      <c r="B372" s="30"/>
      <c r="C372" s="315">
        <v>1127</v>
      </c>
      <c r="D372" s="315">
        <v>928.79</v>
      </c>
      <c r="E372" s="3" t="s">
        <v>974</v>
      </c>
      <c r="F372" s="72"/>
      <c r="G372" s="72"/>
    </row>
    <row r="373" spans="1:10">
      <c r="E373" s="117"/>
      <c r="F373" s="72"/>
      <c r="G373" s="48"/>
    </row>
    <row r="374" spans="1:10" ht="15" thickBot="1"/>
    <row r="375" spans="1:10">
      <c r="A375" s="466">
        <v>46077</v>
      </c>
      <c r="B375" s="313" t="s">
        <v>985</v>
      </c>
      <c r="C375" s="314" t="s">
        <v>662</v>
      </c>
      <c r="D375" s="314" t="s">
        <v>662</v>
      </c>
      <c r="E375" s="117" t="s">
        <v>989</v>
      </c>
      <c r="F375" s="117"/>
      <c r="G375" s="117"/>
      <c r="H375" s="117"/>
      <c r="I375" s="117"/>
    </row>
    <row r="376" spans="1:10">
      <c r="A376" s="832" t="s">
        <v>984</v>
      </c>
      <c r="B376" s="465" t="s">
        <v>986</v>
      </c>
      <c r="C376" s="460" t="s">
        <v>987</v>
      </c>
      <c r="D376" s="460" t="s">
        <v>988</v>
      </c>
      <c r="E376" s="117"/>
      <c r="F376" s="48"/>
      <c r="G376" s="48"/>
      <c r="H376" s="48"/>
      <c r="I376" s="48"/>
    </row>
    <row r="377" spans="1:10">
      <c r="A377" s="833"/>
      <c r="B377" s="404">
        <v>256.39</v>
      </c>
      <c r="C377" s="404">
        <v>781.96</v>
      </c>
      <c r="D377" s="404">
        <v>875.73</v>
      </c>
    </row>
    <row r="378" spans="1:10">
      <c r="E378" s="340"/>
      <c r="F378" s="72"/>
      <c r="G378" s="117"/>
    </row>
    <row r="379" spans="1:10">
      <c r="A379" s="449" t="s">
        <v>990</v>
      </c>
      <c r="B379" s="449" t="s">
        <v>992</v>
      </c>
      <c r="F379" s="272"/>
    </row>
    <row r="380" spans="1:10">
      <c r="A380" s="449" t="s">
        <v>991</v>
      </c>
      <c r="B380" s="398">
        <v>51.7</v>
      </c>
    </row>
    <row r="381" spans="1:10">
      <c r="A381" s="834" t="s">
        <v>998</v>
      </c>
      <c r="B381" s="835"/>
    </row>
    <row r="382" spans="1:10">
      <c r="A382" s="449" t="s">
        <v>995</v>
      </c>
      <c r="B382" s="398">
        <v>270</v>
      </c>
    </row>
    <row r="383" spans="1:10">
      <c r="A383" s="449" t="s">
        <v>996</v>
      </c>
      <c r="B383" s="398">
        <v>166</v>
      </c>
    </row>
    <row r="384" spans="1:10">
      <c r="A384" s="270" t="s">
        <v>997</v>
      </c>
      <c r="B384" s="467">
        <f>B382+B383</f>
        <v>436</v>
      </c>
      <c r="C384" s="49">
        <v>405.9</v>
      </c>
    </row>
    <row r="385" spans="1:9">
      <c r="E385" s="270"/>
      <c r="F385" s="267"/>
    </row>
    <row r="386" spans="1:9">
      <c r="A386" s="102" t="s">
        <v>993</v>
      </c>
      <c r="B386" s="102" t="s">
        <v>994</v>
      </c>
    </row>
    <row r="387" spans="1:9">
      <c r="A387" s="16" t="s">
        <v>999</v>
      </c>
      <c r="B387" s="30">
        <v>862.4</v>
      </c>
    </row>
    <row r="388" spans="1:9">
      <c r="E388" s="117"/>
      <c r="F388" s="72"/>
    </row>
    <row r="389" spans="1:9">
      <c r="A389" s="102" t="s">
        <v>1003</v>
      </c>
      <c r="B389" s="293" t="s">
        <v>1004</v>
      </c>
      <c r="C389" s="293" t="s">
        <v>1005</v>
      </c>
      <c r="D389" s="293" t="s">
        <v>1006</v>
      </c>
      <c r="F389" s="48"/>
    </row>
    <row r="390" spans="1:9">
      <c r="A390" s="102" t="s">
        <v>1000</v>
      </c>
      <c r="B390" s="30">
        <v>145</v>
      </c>
      <c r="C390" s="30">
        <v>155.55000000000001</v>
      </c>
      <c r="D390" s="30">
        <v>163</v>
      </c>
    </row>
    <row r="391" spans="1:9">
      <c r="A391" s="102" t="s">
        <v>1001</v>
      </c>
      <c r="B391" s="30">
        <v>215</v>
      </c>
      <c r="C391" s="30">
        <v>235.16</v>
      </c>
      <c r="D391" s="30">
        <v>270.44</v>
      </c>
      <c r="E391" s="117"/>
      <c r="F391" s="72"/>
      <c r="G391" s="72"/>
      <c r="H391" s="72"/>
      <c r="I391" s="72"/>
    </row>
    <row r="392" spans="1:9">
      <c r="A392" s="102" t="s">
        <v>1002</v>
      </c>
      <c r="B392" s="30">
        <v>84</v>
      </c>
      <c r="C392" s="30">
        <v>79</v>
      </c>
      <c r="D392" s="30"/>
      <c r="F392" s="72"/>
      <c r="G392" s="48"/>
      <c r="H392" s="48"/>
      <c r="I392" s="215"/>
    </row>
    <row r="393" spans="1:9">
      <c r="A393" s="397" t="s">
        <v>997</v>
      </c>
      <c r="B393" s="404">
        <f>B390+B391+B392</f>
        <v>444</v>
      </c>
      <c r="C393" s="404">
        <f>C390+C391+C392</f>
        <v>469.71000000000004</v>
      </c>
      <c r="D393" s="404">
        <f>D390+D391+D392</f>
        <v>433.44</v>
      </c>
      <c r="F393" s="72"/>
      <c r="G393" s="48"/>
      <c r="H393" s="48"/>
      <c r="I393" s="215"/>
    </row>
    <row r="395" spans="1:9">
      <c r="A395" s="102" t="s">
        <v>1007</v>
      </c>
      <c r="B395" s="469" t="s">
        <v>720</v>
      </c>
      <c r="C395" s="293" t="s">
        <v>1016</v>
      </c>
      <c r="D395" s="293" t="s">
        <v>1019</v>
      </c>
      <c r="E395" s="470" t="s">
        <v>1020</v>
      </c>
      <c r="F395" s="72" t="s">
        <v>1023</v>
      </c>
    </row>
    <row r="396" spans="1:9">
      <c r="A396" s="102" t="s">
        <v>1008</v>
      </c>
      <c r="B396" s="30">
        <v>2919.4</v>
      </c>
      <c r="C396" s="30"/>
      <c r="D396" s="30">
        <v>1809</v>
      </c>
      <c r="E396" s="30">
        <v>1700</v>
      </c>
      <c r="F396" s="11"/>
    </row>
    <row r="397" spans="1:9">
      <c r="A397" s="102" t="s">
        <v>1017</v>
      </c>
      <c r="B397" s="30">
        <v>525.79999999999995</v>
      </c>
      <c r="C397" s="30">
        <v>420</v>
      </c>
      <c r="D397" s="30">
        <v>325</v>
      </c>
      <c r="E397" s="30">
        <v>450</v>
      </c>
      <c r="F397" s="11"/>
    </row>
    <row r="398" spans="1:9">
      <c r="A398" s="102" t="s">
        <v>1018</v>
      </c>
      <c r="B398" s="30">
        <v>363</v>
      </c>
      <c r="C398" s="30">
        <v>270</v>
      </c>
      <c r="D398" s="30">
        <v>225</v>
      </c>
      <c r="E398" s="30">
        <v>240</v>
      </c>
      <c r="F398" s="11"/>
    </row>
    <row r="399" spans="1:9">
      <c r="A399" s="102" t="s">
        <v>1025</v>
      </c>
      <c r="B399" s="48">
        <v>741.24</v>
      </c>
      <c r="C399">
        <v>970</v>
      </c>
      <c r="D399" s="48">
        <v>829</v>
      </c>
      <c r="E399" s="48">
        <v>650</v>
      </c>
      <c r="F399" s="11"/>
    </row>
    <row r="400" spans="1:9">
      <c r="A400" s="84"/>
      <c r="B400" s="30">
        <f t="shared" ref="B400:D400" si="1">B396+B397+B398+B399</f>
        <v>4549.4399999999996</v>
      </c>
      <c r="C400" s="30">
        <f t="shared" si="1"/>
        <v>1660</v>
      </c>
      <c r="D400" s="30">
        <f t="shared" si="1"/>
        <v>3188</v>
      </c>
      <c r="E400" s="30">
        <f>E396+E397+E398+E399</f>
        <v>3040</v>
      </c>
      <c r="F400" s="11">
        <v>215</v>
      </c>
    </row>
    <row r="401" spans="1:8">
      <c r="A401" s="270" t="s">
        <v>997</v>
      </c>
      <c r="B401" s="118"/>
      <c r="C401" s="118"/>
      <c r="D401" s="118"/>
      <c r="E401" s="118"/>
      <c r="F401" s="11"/>
    </row>
    <row r="403" spans="1:8">
      <c r="A403" s="102" t="s">
        <v>1012</v>
      </c>
      <c r="B403" s="293" t="s">
        <v>411</v>
      </c>
      <c r="C403" s="293" t="s">
        <v>295</v>
      </c>
      <c r="D403" s="293" t="s">
        <v>1024</v>
      </c>
      <c r="E403" s="293" t="s">
        <v>420</v>
      </c>
      <c r="F403" s="102" t="s">
        <v>421</v>
      </c>
    </row>
    <row r="404" spans="1:8">
      <c r="A404" s="102" t="s">
        <v>1009</v>
      </c>
      <c r="B404" s="100">
        <v>1</v>
      </c>
      <c r="C404" s="30">
        <v>92</v>
      </c>
      <c r="D404" s="30"/>
      <c r="E404" s="30">
        <v>169</v>
      </c>
      <c r="F404" s="116">
        <v>198</v>
      </c>
    </row>
    <row r="405" spans="1:8">
      <c r="A405" s="102" t="s">
        <v>1010</v>
      </c>
      <c r="B405" s="100">
        <v>1</v>
      </c>
      <c r="C405" s="30">
        <v>78</v>
      </c>
      <c r="D405" s="30"/>
      <c r="E405" s="30">
        <v>105</v>
      </c>
      <c r="F405" s="30">
        <v>26.3</v>
      </c>
    </row>
    <row r="406" spans="1:8">
      <c r="A406" s="102" t="s">
        <v>1011</v>
      </c>
      <c r="B406" s="100">
        <v>1</v>
      </c>
      <c r="C406" s="30">
        <v>20</v>
      </c>
      <c r="D406" s="30"/>
      <c r="E406" s="352">
        <v>20</v>
      </c>
      <c r="F406" s="468">
        <v>107</v>
      </c>
    </row>
    <row r="407" spans="1:8">
      <c r="A407" s="837" t="s">
        <v>997</v>
      </c>
      <c r="B407" s="837"/>
      <c r="C407" s="346">
        <f t="shared" ref="C407" si="2">C404+C405+C406</f>
        <v>190</v>
      </c>
      <c r="D407" s="346">
        <v>205</v>
      </c>
      <c r="E407" s="346">
        <f>E404+E405+E406</f>
        <v>294</v>
      </c>
      <c r="F407" s="346">
        <f>F404+F405+F406</f>
        <v>331.3</v>
      </c>
    </row>
    <row r="409" spans="1:8">
      <c r="A409" s="102" t="s">
        <v>1015</v>
      </c>
      <c r="B409" s="16"/>
      <c r="C409" s="16"/>
      <c r="D409" s="16"/>
    </row>
    <row r="410" spans="1:8">
      <c r="A410" s="102" t="s">
        <v>1013</v>
      </c>
      <c r="B410" s="16"/>
      <c r="C410" s="16"/>
      <c r="D410" s="16"/>
      <c r="E410" s="117"/>
      <c r="F410" s="117"/>
      <c r="G410" s="1"/>
    </row>
    <row r="411" spans="1:8">
      <c r="A411" s="102" t="s">
        <v>1014</v>
      </c>
      <c r="B411" s="16"/>
      <c r="C411" s="16"/>
      <c r="D411" s="16"/>
      <c r="E411" s="117"/>
      <c r="F411" s="1"/>
      <c r="G411" s="11"/>
    </row>
    <row r="412" spans="1:8">
      <c r="E412" s="117"/>
      <c r="F412" s="1"/>
      <c r="G412" s="48"/>
      <c r="H412" s="441"/>
    </row>
    <row r="413" spans="1:8">
      <c r="A413" s="102" t="s">
        <v>1021</v>
      </c>
      <c r="E413" s="117"/>
      <c r="F413" s="1"/>
      <c r="G413" s="48"/>
    </row>
    <row r="414" spans="1:8">
      <c r="A414" s="102" t="s">
        <v>1022</v>
      </c>
    </row>
    <row r="415" spans="1:8">
      <c r="E415" s="83"/>
      <c r="F415" s="72"/>
    </row>
    <row r="416" spans="1:8">
      <c r="A416" s="102" t="s">
        <v>1026</v>
      </c>
      <c r="B416" s="16"/>
      <c r="F416" s="1"/>
    </row>
    <row r="417" spans="1:6">
      <c r="A417" s="102" t="s">
        <v>1027</v>
      </c>
      <c r="B417" s="16"/>
      <c r="F417" s="1"/>
    </row>
    <row r="418" spans="1:6">
      <c r="F418" s="1"/>
    </row>
    <row r="419" spans="1:6">
      <c r="A419" s="102" t="s">
        <v>1028</v>
      </c>
      <c r="B419" s="293" t="s">
        <v>1031</v>
      </c>
      <c r="F419" s="1"/>
    </row>
    <row r="420" spans="1:6">
      <c r="A420" s="102" t="s">
        <v>1029</v>
      </c>
      <c r="B420" s="489">
        <v>188</v>
      </c>
      <c r="C420" s="14"/>
      <c r="F420" s="1"/>
    </row>
    <row r="421" spans="1:6">
      <c r="A421" s="102" t="s">
        <v>1030</v>
      </c>
      <c r="B421" s="30">
        <v>54.6</v>
      </c>
      <c r="F421" s="1"/>
    </row>
    <row r="422" spans="1:6">
      <c r="A422" s="397" t="s">
        <v>260</v>
      </c>
      <c r="B422" s="346">
        <f>B420+B421</f>
        <v>242.6</v>
      </c>
      <c r="F422" s="1"/>
    </row>
    <row r="424" spans="1:6">
      <c r="A424" s="102" t="s">
        <v>1149</v>
      </c>
      <c r="B424" s="293" t="s">
        <v>411</v>
      </c>
      <c r="C424" s="293" t="s">
        <v>941</v>
      </c>
      <c r="D424" t="s">
        <v>1033</v>
      </c>
    </row>
    <row r="425" spans="1:6">
      <c r="A425" s="3">
        <v>3223155</v>
      </c>
      <c r="B425" s="3">
        <v>1</v>
      </c>
      <c r="C425" s="30">
        <v>277.16000000000003</v>
      </c>
    </row>
    <row r="426" spans="1:6">
      <c r="A426" s="3">
        <v>5095694</v>
      </c>
      <c r="B426" s="3">
        <v>1</v>
      </c>
      <c r="C426" s="30">
        <v>420.12</v>
      </c>
    </row>
    <row r="427" spans="1:6">
      <c r="A427" s="3">
        <v>5000483</v>
      </c>
      <c r="B427" s="3">
        <v>3</v>
      </c>
      <c r="C427" s="30">
        <v>1468.73</v>
      </c>
    </row>
    <row r="428" spans="1:6">
      <c r="A428" s="3">
        <v>5701623</v>
      </c>
      <c r="B428" s="3">
        <v>6</v>
      </c>
      <c r="C428" s="30">
        <v>3876.67</v>
      </c>
    </row>
    <row r="429" spans="1:6">
      <c r="A429" s="474" t="s">
        <v>1032</v>
      </c>
      <c r="B429" s="3">
        <v>15</v>
      </c>
      <c r="C429" s="30">
        <v>2872.1</v>
      </c>
    </row>
    <row r="430" spans="1:6">
      <c r="A430" s="347" t="s">
        <v>260</v>
      </c>
      <c r="B430" s="347"/>
      <c r="C430" s="346">
        <f>C425+C426+C427+C428+C429</f>
        <v>8914.7800000000007</v>
      </c>
    </row>
    <row r="432" spans="1:6">
      <c r="A432" s="102" t="s">
        <v>1102</v>
      </c>
      <c r="B432" s="293" t="s">
        <v>1040</v>
      </c>
      <c r="C432" s="293" t="s">
        <v>1047</v>
      </c>
      <c r="D432" s="293" t="s">
        <v>1049</v>
      </c>
    </row>
    <row r="433" spans="1:5">
      <c r="A433" s="102" t="s">
        <v>1052</v>
      </c>
      <c r="B433" s="16"/>
      <c r="C433" s="16"/>
      <c r="D433" s="100" t="s">
        <v>1050</v>
      </c>
    </row>
    <row r="434" spans="1:5">
      <c r="A434" s="397" t="s">
        <v>1051</v>
      </c>
      <c r="B434" s="404"/>
      <c r="C434" s="404"/>
      <c r="D434" s="404">
        <f>3*106.5</f>
        <v>319.5</v>
      </c>
      <c r="E434" t="s">
        <v>1053</v>
      </c>
    </row>
    <row r="435" spans="1:5" ht="15" thickBot="1">
      <c r="A435" s="270"/>
      <c r="B435" s="480"/>
      <c r="C435" s="480"/>
      <c r="D435" s="480"/>
    </row>
    <row r="436" spans="1:5">
      <c r="A436" s="870" t="s">
        <v>1054</v>
      </c>
      <c r="B436" s="871"/>
      <c r="C436" s="871"/>
      <c r="D436" s="871"/>
      <c r="E436" s="872"/>
    </row>
    <row r="437" spans="1:5" ht="15" thickBot="1">
      <c r="A437" s="873"/>
      <c r="B437" s="874"/>
      <c r="C437" s="874"/>
      <c r="D437" s="874"/>
      <c r="E437" s="875"/>
    </row>
    <row r="438" spans="1:5" ht="15" thickBot="1"/>
    <row r="439" spans="1:5">
      <c r="A439" s="475" t="s">
        <v>1034</v>
      </c>
      <c r="B439" s="328" t="s">
        <v>421</v>
      </c>
      <c r="C439" s="328" t="s">
        <v>1036</v>
      </c>
      <c r="D439" s="328" t="s">
        <v>1037</v>
      </c>
      <c r="E439" s="314" t="s">
        <v>884</v>
      </c>
    </row>
    <row r="440" spans="1:5" ht="15" thickBot="1">
      <c r="A440" s="887" t="s">
        <v>1035</v>
      </c>
      <c r="B440" s="476" t="s">
        <v>1038</v>
      </c>
      <c r="C440" s="476">
        <v>33330369</v>
      </c>
      <c r="D440" s="476" t="s">
        <v>1048</v>
      </c>
      <c r="E440" s="477"/>
    </row>
    <row r="441" spans="1:5" ht="15" thickBot="1">
      <c r="A441" s="888"/>
      <c r="B441" s="478">
        <v>1825.8</v>
      </c>
      <c r="C441" s="479">
        <v>2154</v>
      </c>
      <c r="D441" s="479">
        <v>1870</v>
      </c>
      <c r="E441" s="479">
        <v>1910.65</v>
      </c>
    </row>
    <row r="442" spans="1:5">
      <c r="A442" s="420"/>
      <c r="B442" s="272"/>
      <c r="C442">
        <v>1850</v>
      </c>
      <c r="D442" s="493"/>
      <c r="E442" s="272"/>
    </row>
    <row r="443" spans="1:5" ht="15" thickBot="1"/>
    <row r="444" spans="1:5">
      <c r="A444" s="313" t="s">
        <v>1062</v>
      </c>
      <c r="B444" s="481" t="s">
        <v>1039</v>
      </c>
      <c r="C444" s="293" t="s">
        <v>1055</v>
      </c>
    </row>
    <row r="445" spans="1:5">
      <c r="A445" s="84" t="s">
        <v>1061</v>
      </c>
      <c r="B445" s="30">
        <v>2317.4</v>
      </c>
      <c r="C445" s="115" t="s">
        <v>527</v>
      </c>
    </row>
    <row r="446" spans="1:5">
      <c r="A446" s="84" t="s">
        <v>1063</v>
      </c>
      <c r="B446" s="30">
        <v>1076</v>
      </c>
      <c r="C446" s="115" t="s">
        <v>527</v>
      </c>
    </row>
    <row r="447" spans="1:5">
      <c r="A447" s="84" t="s">
        <v>1064</v>
      </c>
      <c r="B447" s="489">
        <v>595.54999999999995</v>
      </c>
      <c r="C447" s="30">
        <v>378.88</v>
      </c>
      <c r="D447" t="s">
        <v>1097</v>
      </c>
    </row>
    <row r="448" spans="1:5">
      <c r="A448" s="84" t="s">
        <v>1065</v>
      </c>
      <c r="B448" s="30">
        <v>8698.0499999999993</v>
      </c>
      <c r="C448" s="115" t="s">
        <v>527</v>
      </c>
    </row>
    <row r="449" spans="1:5">
      <c r="A449" s="117"/>
      <c r="B449" s="118"/>
      <c r="C449" s="490"/>
    </row>
    <row r="450" spans="1:5">
      <c r="A450" s="102" t="s">
        <v>1098</v>
      </c>
      <c r="B450" s="30"/>
      <c r="C450" s="115"/>
      <c r="D450" s="16"/>
    </row>
    <row r="451" spans="1:5">
      <c r="A451" s="102" t="s">
        <v>1099</v>
      </c>
      <c r="B451" s="16"/>
      <c r="C451" s="30"/>
      <c r="D451" s="16"/>
    </row>
    <row r="453" spans="1:5">
      <c r="A453" s="102" t="s">
        <v>1041</v>
      </c>
      <c r="B453" s="293" t="s">
        <v>1044</v>
      </c>
      <c r="C453" s="293" t="s">
        <v>1046</v>
      </c>
      <c r="D453" s="100"/>
    </row>
    <row r="454" spans="1:5">
      <c r="A454" s="859" t="s">
        <v>1042</v>
      </c>
      <c r="B454" s="16" t="s">
        <v>1043</v>
      </c>
      <c r="C454" s="16" t="s">
        <v>1045</v>
      </c>
      <c r="D454" s="16"/>
    </row>
    <row r="455" spans="1:5">
      <c r="A455" s="859"/>
      <c r="B455" s="410" t="s">
        <v>527</v>
      </c>
      <c r="C455" s="410" t="s">
        <v>527</v>
      </c>
      <c r="D455" s="410"/>
    </row>
    <row r="456" spans="1:5">
      <c r="E456" t="s">
        <v>1066</v>
      </c>
    </row>
    <row r="457" spans="1:5">
      <c r="A457" s="102" t="s">
        <v>1056</v>
      </c>
      <c r="B457" s="293" t="s">
        <v>1060</v>
      </c>
      <c r="C457" s="293" t="s">
        <v>1059</v>
      </c>
      <c r="E457" t="s">
        <v>1067</v>
      </c>
    </row>
    <row r="458" spans="1:5">
      <c r="A458" s="102" t="s">
        <v>1057</v>
      </c>
      <c r="B458" s="100">
        <v>2</v>
      </c>
      <c r="C458" s="30">
        <v>38.369999999999997</v>
      </c>
      <c r="D458" s="215">
        <f>C458*B458</f>
        <v>76.739999999999995</v>
      </c>
    </row>
    <row r="459" spans="1:5">
      <c r="A459" s="102" t="s">
        <v>1058</v>
      </c>
      <c r="B459" s="100">
        <v>3</v>
      </c>
      <c r="C459" s="30">
        <v>31</v>
      </c>
      <c r="D459" s="215">
        <f>C459*B459</f>
        <v>93</v>
      </c>
    </row>
    <row r="460" spans="1:5">
      <c r="A460" s="117"/>
      <c r="B460" s="1"/>
      <c r="C460" s="118"/>
      <c r="D460" s="215"/>
    </row>
    <row r="461" spans="1:5">
      <c r="A461" s="102" t="s">
        <v>1101</v>
      </c>
      <c r="B461" s="293" t="s">
        <v>1060</v>
      </c>
      <c r="C461" s="295" t="s">
        <v>625</v>
      </c>
      <c r="D461" s="215"/>
    </row>
    <row r="462" spans="1:5">
      <c r="A462" s="333" t="s">
        <v>1100</v>
      </c>
      <c r="B462" s="100">
        <v>1</v>
      </c>
      <c r="C462" s="30">
        <v>105</v>
      </c>
      <c r="D462" t="s">
        <v>1097</v>
      </c>
    </row>
    <row r="464" spans="1:5">
      <c r="A464" s="102" t="s">
        <v>1096</v>
      </c>
      <c r="B464" s="293" t="s">
        <v>1049</v>
      </c>
      <c r="C464" s="16"/>
    </row>
    <row r="465" spans="1:4">
      <c r="A465" s="102" t="s">
        <v>1052</v>
      </c>
      <c r="B465" s="100" t="s">
        <v>1050</v>
      </c>
      <c r="C465" s="16"/>
    </row>
    <row r="466" spans="1:4">
      <c r="A466" s="397" t="s">
        <v>1051</v>
      </c>
      <c r="B466" s="404">
        <f>3*106.5</f>
        <v>319.5</v>
      </c>
      <c r="C466" s="16" t="s">
        <v>1053</v>
      </c>
    </row>
    <row r="467" spans="1:4">
      <c r="A467" s="270"/>
      <c r="B467" s="272"/>
    </row>
    <row r="468" spans="1:4">
      <c r="A468" s="286" t="s">
        <v>1103</v>
      </c>
      <c r="B468" s="272" t="s">
        <v>1104</v>
      </c>
    </row>
    <row r="469" spans="1:4">
      <c r="A469" s="286" t="s">
        <v>1105</v>
      </c>
      <c r="B469" s="272">
        <v>5027.97</v>
      </c>
    </row>
    <row r="470" spans="1:4">
      <c r="A470" s="286"/>
      <c r="B470" s="272"/>
    </row>
    <row r="471" spans="1:4">
      <c r="A471" s="294" t="s">
        <v>1109</v>
      </c>
      <c r="B471" s="491" t="s">
        <v>1108</v>
      </c>
      <c r="C471" s="102" t="s">
        <v>1113</v>
      </c>
      <c r="D471" s="16"/>
    </row>
    <row r="472" spans="1:4">
      <c r="A472" s="294" t="s">
        <v>1110</v>
      </c>
      <c r="B472" s="309" t="s">
        <v>1112</v>
      </c>
      <c r="C472" s="309">
        <v>2500</v>
      </c>
      <c r="D472" s="492" t="s">
        <v>1111</v>
      </c>
    </row>
    <row r="473" spans="1:4" ht="16.8" customHeight="1">
      <c r="A473" s="286"/>
      <c r="B473" s="272"/>
    </row>
    <row r="474" spans="1:4" ht="16.8" customHeight="1">
      <c r="A474" s="286" t="s">
        <v>1106</v>
      </c>
      <c r="B474" s="272"/>
    </row>
    <row r="475" spans="1:4">
      <c r="A475" s="270"/>
      <c r="B475" s="272"/>
    </row>
    <row r="477" spans="1:4">
      <c r="A477" s="102" t="s">
        <v>1068</v>
      </c>
      <c r="B477" s="293" t="s">
        <v>1070</v>
      </c>
      <c r="C477" s="293" t="s">
        <v>271</v>
      </c>
    </row>
    <row r="478" spans="1:4">
      <c r="A478" s="102" t="s">
        <v>1069</v>
      </c>
      <c r="B478" s="30">
        <v>2000</v>
      </c>
      <c r="C478" s="30">
        <v>3800</v>
      </c>
      <c r="D478" s="49"/>
    </row>
    <row r="479" spans="1:4" ht="15" thickBot="1"/>
    <row r="480" spans="1:4">
      <c r="A480" s="484" t="s">
        <v>1071</v>
      </c>
      <c r="B480" s="485" t="s">
        <v>1072</v>
      </c>
      <c r="C480" s="486" t="s">
        <v>786</v>
      </c>
    </row>
    <row r="481" spans="1:5">
      <c r="A481" s="487" t="s">
        <v>319</v>
      </c>
      <c r="B481" s="483" t="s">
        <v>33</v>
      </c>
      <c r="C481" s="488" t="s">
        <v>320</v>
      </c>
      <c r="D481" s="482" t="s">
        <v>1082</v>
      </c>
    </row>
    <row r="482" spans="1:5">
      <c r="A482" s="94" t="s">
        <v>1073</v>
      </c>
      <c r="B482" s="100" t="s">
        <v>323</v>
      </c>
      <c r="C482" s="39" t="s">
        <v>1089</v>
      </c>
      <c r="E482" s="49">
        <v>5.95</v>
      </c>
    </row>
    <row r="483" spans="1:5">
      <c r="A483" s="94" t="s">
        <v>326</v>
      </c>
      <c r="B483" s="100" t="s">
        <v>327</v>
      </c>
      <c r="C483" s="39" t="s">
        <v>1090</v>
      </c>
      <c r="D483" s="86" t="s">
        <v>1083</v>
      </c>
    </row>
    <row r="484" spans="1:5">
      <c r="A484" s="94" t="s">
        <v>330</v>
      </c>
      <c r="B484" s="100" t="s">
        <v>331</v>
      </c>
      <c r="C484" s="39" t="s">
        <v>1092</v>
      </c>
      <c r="D484" t="s">
        <v>1095</v>
      </c>
    </row>
    <row r="485" spans="1:5">
      <c r="A485" s="94" t="s">
        <v>334</v>
      </c>
      <c r="B485" s="100" t="s">
        <v>335</v>
      </c>
      <c r="C485" s="39" t="s">
        <v>1091</v>
      </c>
    </row>
    <row r="486" spans="1:5">
      <c r="A486" s="94" t="s">
        <v>693</v>
      </c>
      <c r="B486" s="100" t="s">
        <v>694</v>
      </c>
      <c r="C486" s="35" t="s">
        <v>1074</v>
      </c>
    </row>
    <row r="487" spans="1:5">
      <c r="A487" s="94" t="s">
        <v>702</v>
      </c>
      <c r="B487" s="100" t="s">
        <v>703</v>
      </c>
      <c r="C487" s="35"/>
    </row>
    <row r="488" spans="1:5" ht="15" thickBot="1">
      <c r="A488" s="95" t="s">
        <v>742</v>
      </c>
      <c r="B488" s="153" t="s">
        <v>743</v>
      </c>
      <c r="C488" s="37">
        <v>5.51</v>
      </c>
      <c r="D488" t="s">
        <v>1084</v>
      </c>
    </row>
    <row r="490" spans="1:5">
      <c r="A490" s="400" t="s">
        <v>1094</v>
      </c>
      <c r="B490" s="400" t="s">
        <v>1076</v>
      </c>
      <c r="C490" s="400" t="s">
        <v>1077</v>
      </c>
    </row>
    <row r="491" spans="1:5">
      <c r="A491" s="3" t="s">
        <v>1081</v>
      </c>
      <c r="B491" s="315">
        <v>218</v>
      </c>
      <c r="C491" s="315">
        <v>312</v>
      </c>
    </row>
    <row r="492" spans="1:5">
      <c r="A492" s="3" t="s">
        <v>1075</v>
      </c>
      <c r="B492" s="315">
        <v>390</v>
      </c>
      <c r="C492" s="315">
        <v>420</v>
      </c>
    </row>
    <row r="493" spans="1:5">
      <c r="A493" s="3" t="s">
        <v>1088</v>
      </c>
      <c r="B493" s="315"/>
      <c r="C493" s="315"/>
    </row>
    <row r="494" spans="1:5">
      <c r="A494" s="3" t="s">
        <v>1078</v>
      </c>
      <c r="B494" s="315">
        <v>268</v>
      </c>
      <c r="C494" s="315" t="s">
        <v>1085</v>
      </c>
    </row>
    <row r="495" spans="1:5">
      <c r="A495" s="3" t="s">
        <v>1079</v>
      </c>
      <c r="B495" s="315">
        <v>210</v>
      </c>
      <c r="C495" s="315" t="s">
        <v>1086</v>
      </c>
    </row>
    <row r="496" spans="1:5">
      <c r="A496" s="3" t="s">
        <v>1087</v>
      </c>
      <c r="B496" s="315">
        <v>190</v>
      </c>
      <c r="C496" s="315" t="s">
        <v>1085</v>
      </c>
    </row>
    <row r="497" spans="1:3">
      <c r="A497" s="3" t="s">
        <v>1080</v>
      </c>
      <c r="B497" s="315">
        <v>333</v>
      </c>
      <c r="C497" s="315" t="s">
        <v>1085</v>
      </c>
    </row>
    <row r="499" spans="1:3">
      <c r="A499" s="294" t="s">
        <v>1106</v>
      </c>
      <c r="B499" s="333" t="s">
        <v>757</v>
      </c>
    </row>
    <row r="500" spans="1:3">
      <c r="A500" s="294" t="s">
        <v>1107</v>
      </c>
      <c r="B500" s="16"/>
    </row>
    <row r="502" spans="1:3">
      <c r="A502" s="102" t="s">
        <v>1151</v>
      </c>
      <c r="B502" s="102" t="s">
        <v>1152</v>
      </c>
    </row>
    <row r="503" spans="1:3">
      <c r="A503" s="102" t="s">
        <v>1154</v>
      </c>
      <c r="B503" s="30">
        <v>20</v>
      </c>
    </row>
    <row r="504" spans="1:3">
      <c r="A504" s="102" t="s">
        <v>1153</v>
      </c>
      <c r="B504" s="30">
        <v>125</v>
      </c>
    </row>
    <row r="506" spans="1:3">
      <c r="A506" s="382" t="s">
        <v>1114</v>
      </c>
      <c r="B506" s="16"/>
    </row>
    <row r="507" spans="1:3">
      <c r="A507" s="102" t="s">
        <v>1115</v>
      </c>
      <c r="B507" s="16"/>
    </row>
    <row r="509" spans="1:3">
      <c r="A509" s="102" t="s">
        <v>1116</v>
      </c>
      <c r="B509" s="102" t="s">
        <v>1118</v>
      </c>
    </row>
    <row r="510" spans="1:3">
      <c r="A510" s="102" t="s">
        <v>1117</v>
      </c>
      <c r="B510" s="30">
        <v>219</v>
      </c>
    </row>
    <row r="512" spans="1:3">
      <c r="A512" s="102" t="s">
        <v>1119</v>
      </c>
      <c r="B512" s="102" t="s">
        <v>992</v>
      </c>
    </row>
    <row r="513" spans="1:3">
      <c r="A513" s="102" t="s">
        <v>1120</v>
      </c>
      <c r="B513" s="30">
        <v>502.58</v>
      </c>
    </row>
    <row r="515" spans="1:3">
      <c r="A515" s="102" t="s">
        <v>1121</v>
      </c>
      <c r="B515" s="102" t="s">
        <v>992</v>
      </c>
    </row>
    <row r="516" spans="1:3">
      <c r="A516" s="102" t="s">
        <v>1122</v>
      </c>
      <c r="B516" s="30">
        <v>5.04</v>
      </c>
    </row>
    <row r="517" spans="1:3">
      <c r="A517" s="102" t="s">
        <v>1123</v>
      </c>
      <c r="B517" s="30">
        <v>29.95</v>
      </c>
    </row>
    <row r="518" spans="1:3" ht="15" thickBot="1"/>
    <row r="519" spans="1:3">
      <c r="A519" s="484" t="s">
        <v>1071</v>
      </c>
      <c r="B519" s="485" t="s">
        <v>1072</v>
      </c>
      <c r="C519" s="486" t="s">
        <v>1124</v>
      </c>
    </row>
    <row r="520" spans="1:3">
      <c r="A520" s="487" t="s">
        <v>319</v>
      </c>
      <c r="B520" s="483" t="s">
        <v>33</v>
      </c>
      <c r="C520" s="488" t="s">
        <v>320</v>
      </c>
    </row>
    <row r="521" spans="1:3">
      <c r="A521" s="94" t="s">
        <v>1073</v>
      </c>
      <c r="B521" s="100" t="s">
        <v>323</v>
      </c>
      <c r="C521" s="39" t="s">
        <v>1125</v>
      </c>
    </row>
    <row r="522" spans="1:3">
      <c r="A522" s="94" t="s">
        <v>326</v>
      </c>
      <c r="B522" s="100" t="s">
        <v>327</v>
      </c>
      <c r="C522" s="500" t="s">
        <v>527</v>
      </c>
    </row>
    <row r="523" spans="1:3">
      <c r="A523" s="94" t="s">
        <v>330</v>
      </c>
      <c r="B523" s="100" t="s">
        <v>331</v>
      </c>
      <c r="C523" s="500" t="s">
        <v>527</v>
      </c>
    </row>
    <row r="524" spans="1:3">
      <c r="A524" s="94" t="s">
        <v>334</v>
      </c>
      <c r="B524" s="100" t="s">
        <v>335</v>
      </c>
      <c r="C524" s="39" t="s">
        <v>1126</v>
      </c>
    </row>
    <row r="525" spans="1:3">
      <c r="A525" s="494" t="s">
        <v>693</v>
      </c>
      <c r="B525" s="496" t="s">
        <v>694</v>
      </c>
      <c r="C525" s="498" t="s">
        <v>1074</v>
      </c>
    </row>
    <row r="526" spans="1:3">
      <c r="A526" s="494" t="s">
        <v>702</v>
      </c>
      <c r="B526" s="496" t="s">
        <v>703</v>
      </c>
      <c r="C526" s="498"/>
    </row>
    <row r="527" spans="1:3" ht="15" thickBot="1">
      <c r="A527" s="495" t="s">
        <v>742</v>
      </c>
      <c r="B527" s="497" t="s">
        <v>743</v>
      </c>
      <c r="C527" s="499">
        <v>5.51</v>
      </c>
    </row>
    <row r="529" spans="1:5">
      <c r="A529" s="294" t="s">
        <v>1128</v>
      </c>
      <c r="B529" s="295" t="s">
        <v>685</v>
      </c>
      <c r="C529" s="293" t="s">
        <v>730</v>
      </c>
      <c r="D529" s="293" t="s">
        <v>1127</v>
      </c>
    </row>
    <row r="530" spans="1:5">
      <c r="A530" s="294" t="s">
        <v>682</v>
      </c>
      <c r="B530" s="315">
        <v>1000</v>
      </c>
      <c r="C530" s="84">
        <v>1600</v>
      </c>
      <c r="D530" s="84" t="s">
        <v>527</v>
      </c>
    </row>
    <row r="531" spans="1:5">
      <c r="A531" s="294" t="s">
        <v>683</v>
      </c>
      <c r="B531" s="315">
        <v>750</v>
      </c>
      <c r="C531" s="84">
        <v>1200</v>
      </c>
      <c r="D531" s="315">
        <v>1300</v>
      </c>
    </row>
    <row r="532" spans="1:5">
      <c r="A532" s="294" t="s">
        <v>684</v>
      </c>
      <c r="B532" s="315">
        <v>500</v>
      </c>
      <c r="C532" s="84">
        <v>800</v>
      </c>
      <c r="D532" s="315">
        <v>650</v>
      </c>
    </row>
    <row r="534" spans="1:5">
      <c r="A534" s="294" t="s">
        <v>1129</v>
      </c>
      <c r="B534" s="293" t="s">
        <v>411</v>
      </c>
      <c r="C534" s="293" t="s">
        <v>757</v>
      </c>
      <c r="D534" s="293" t="s">
        <v>884</v>
      </c>
    </row>
    <row r="535" spans="1:5">
      <c r="A535" s="294" t="s">
        <v>1130</v>
      </c>
      <c r="B535" s="100">
        <v>1</v>
      </c>
      <c r="C535" s="16"/>
      <c r="D535" s="16"/>
    </row>
    <row r="536" spans="1:5">
      <c r="A536" s="294" t="s">
        <v>1131</v>
      </c>
      <c r="B536" s="100">
        <v>2</v>
      </c>
      <c r="C536" s="16"/>
      <c r="D536" s="16"/>
    </row>
    <row r="538" spans="1:5" ht="15" thickBot="1"/>
    <row r="539" spans="1:5">
      <c r="A539" s="484" t="s">
        <v>1132</v>
      </c>
      <c r="B539" s="503" t="s">
        <v>1072</v>
      </c>
      <c r="C539" s="504" t="s">
        <v>786</v>
      </c>
      <c r="D539" s="218" t="s">
        <v>1135</v>
      </c>
    </row>
    <row r="540" spans="1:5">
      <c r="A540" s="487" t="s">
        <v>319</v>
      </c>
      <c r="B540" s="483" t="s">
        <v>33</v>
      </c>
      <c r="C540" s="505" t="s">
        <v>320</v>
      </c>
      <c r="D540" s="505" t="s">
        <v>320</v>
      </c>
      <c r="E540" s="384" t="s">
        <v>1136</v>
      </c>
    </row>
    <row r="541" spans="1:5">
      <c r="A541" s="94" t="s">
        <v>1073</v>
      </c>
      <c r="B541" s="100" t="s">
        <v>323</v>
      </c>
      <c r="C541" s="506" t="s">
        <v>1133</v>
      </c>
      <c r="D541" s="510">
        <v>7.5</v>
      </c>
      <c r="E541" s="30">
        <v>7.4</v>
      </c>
    </row>
    <row r="542" spans="1:5">
      <c r="A542" s="501" t="s">
        <v>326</v>
      </c>
      <c r="B542" s="502" t="s">
        <v>327</v>
      </c>
      <c r="C542" s="507" t="s">
        <v>527</v>
      </c>
      <c r="D542" s="511"/>
      <c r="E542" s="527"/>
    </row>
    <row r="543" spans="1:5">
      <c r="A543" s="94" t="s">
        <v>330</v>
      </c>
      <c r="B543" s="100" t="s">
        <v>331</v>
      </c>
      <c r="C543" s="506" t="s">
        <v>1134</v>
      </c>
      <c r="D543" s="510">
        <v>6.57</v>
      </c>
      <c r="E543" s="30"/>
    </row>
    <row r="544" spans="1:5">
      <c r="A544" s="94" t="s">
        <v>334</v>
      </c>
      <c r="B544" s="100" t="s">
        <v>335</v>
      </c>
      <c r="C544" s="506"/>
      <c r="D544" s="315">
        <v>8.6999999999999993</v>
      </c>
      <c r="E544" s="30">
        <v>8.6</v>
      </c>
    </row>
    <row r="545" spans="1:7">
      <c r="A545" s="94" t="s">
        <v>693</v>
      </c>
      <c r="B545" s="100" t="s">
        <v>694</v>
      </c>
      <c r="C545" s="509">
        <v>7.23</v>
      </c>
      <c r="D545" s="512">
        <v>7.23</v>
      </c>
      <c r="E545" s="116">
        <v>7.14</v>
      </c>
    </row>
    <row r="546" spans="1:7">
      <c r="A546" s="94" t="s">
        <v>702</v>
      </c>
      <c r="B546" s="100" t="s">
        <v>703</v>
      </c>
      <c r="C546" s="425"/>
      <c r="D546" s="510">
        <v>6.51</v>
      </c>
      <c r="E546" s="30"/>
    </row>
    <row r="547" spans="1:7" ht="15" thickBot="1">
      <c r="A547" s="72"/>
      <c r="B547" s="1"/>
      <c r="C547" s="118"/>
      <c r="D547" s="516"/>
      <c r="E547" s="517"/>
      <c r="F547" s="518"/>
      <c r="G547" s="118"/>
    </row>
    <row r="548" spans="1:7">
      <c r="A548" s="484" t="s">
        <v>1144</v>
      </c>
      <c r="B548" s="503" t="s">
        <v>1072</v>
      </c>
    </row>
    <row r="549" spans="1:7">
      <c r="A549" s="483" t="s">
        <v>319</v>
      </c>
      <c r="B549" s="513">
        <v>46091</v>
      </c>
      <c r="C549" s="514" t="s">
        <v>1139</v>
      </c>
    </row>
    <row r="550" spans="1:7">
      <c r="A550" s="3" t="s">
        <v>1073</v>
      </c>
      <c r="B550" s="315">
        <v>7.8</v>
      </c>
      <c r="C550" s="515">
        <v>46091</v>
      </c>
    </row>
    <row r="551" spans="1:7">
      <c r="A551" s="3" t="s">
        <v>330</v>
      </c>
      <c r="B551" s="30">
        <v>7.87</v>
      </c>
      <c r="C551" s="515">
        <v>46092</v>
      </c>
      <c r="F551" t="s">
        <v>1074</v>
      </c>
    </row>
    <row r="552" spans="1:7">
      <c r="A552" s="519" t="s">
        <v>334</v>
      </c>
      <c r="B552" s="422" t="s">
        <v>1137</v>
      </c>
      <c r="C552" s="520">
        <v>46091</v>
      </c>
      <c r="D552" s="14" t="s">
        <v>1145</v>
      </c>
    </row>
    <row r="553" spans="1:7">
      <c r="A553" s="3" t="s">
        <v>693</v>
      </c>
      <c r="B553" s="508" t="s">
        <v>1138</v>
      </c>
      <c r="C553" s="16"/>
    </row>
    <row r="555" spans="1:7">
      <c r="A555" s="294" t="s">
        <v>1146</v>
      </c>
      <c r="B555" s="102" t="s">
        <v>1155</v>
      </c>
    </row>
    <row r="556" spans="1:7">
      <c r="A556" s="294" t="s">
        <v>1147</v>
      </c>
      <c r="B556" s="398">
        <f>17*20</f>
        <v>340</v>
      </c>
      <c r="C556" t="s">
        <v>1156</v>
      </c>
    </row>
    <row r="558" spans="1:7">
      <c r="A558" s="521" t="s">
        <v>1148</v>
      </c>
      <c r="B558" s="521" t="s">
        <v>832</v>
      </c>
    </row>
    <row r="559" spans="1:7">
      <c r="A559" s="521" t="s">
        <v>1150</v>
      </c>
      <c r="B559" s="521" t="s">
        <v>832</v>
      </c>
    </row>
    <row r="560" spans="1:7" ht="15" thickBot="1"/>
    <row r="561" spans="1:6">
      <c r="A561" s="484" t="s">
        <v>1157</v>
      </c>
      <c r="B561" s="503" t="s">
        <v>1072</v>
      </c>
      <c r="C561" s="486" t="s">
        <v>346</v>
      </c>
    </row>
    <row r="562" spans="1:6">
      <c r="A562" s="487" t="s">
        <v>319</v>
      </c>
      <c r="B562" s="483" t="s">
        <v>33</v>
      </c>
      <c r="C562" s="488" t="s">
        <v>320</v>
      </c>
    </row>
    <row r="563" spans="1:6">
      <c r="A563" s="94" t="s">
        <v>1073</v>
      </c>
      <c r="B563" s="100" t="s">
        <v>323</v>
      </c>
      <c r="C563" s="35">
        <v>7.8</v>
      </c>
    </row>
    <row r="564" spans="1:6">
      <c r="A564" s="501" t="s">
        <v>326</v>
      </c>
      <c r="B564" s="502" t="s">
        <v>327</v>
      </c>
      <c r="C564" s="522"/>
    </row>
    <row r="565" spans="1:6">
      <c r="A565" s="94" t="s">
        <v>330</v>
      </c>
      <c r="B565" s="100" t="s">
        <v>331</v>
      </c>
      <c r="C565" s="35">
        <v>6.98</v>
      </c>
    </row>
    <row r="566" spans="1:6">
      <c r="A566" s="94" t="s">
        <v>334</v>
      </c>
      <c r="B566" s="100" t="s">
        <v>335</v>
      </c>
      <c r="C566" s="35">
        <v>7.34</v>
      </c>
    </row>
    <row r="567" spans="1:6">
      <c r="A567" s="94" t="s">
        <v>693</v>
      </c>
      <c r="B567" s="100" t="s">
        <v>694</v>
      </c>
      <c r="C567" s="523">
        <v>7.68</v>
      </c>
    </row>
    <row r="568" spans="1:6">
      <c r="A568" s="501" t="s">
        <v>702</v>
      </c>
      <c r="B568" s="502" t="s">
        <v>703</v>
      </c>
      <c r="C568" s="524"/>
    </row>
    <row r="570" spans="1:6">
      <c r="A570" s="525" t="s">
        <v>1162</v>
      </c>
      <c r="B570" s="354" t="s">
        <v>1060</v>
      </c>
      <c r="C570" s="354" t="s">
        <v>295</v>
      </c>
      <c r="D570" s="354" t="s">
        <v>421</v>
      </c>
      <c r="E570" s="354" t="s">
        <v>303</v>
      </c>
      <c r="F570" s="354" t="s">
        <v>891</v>
      </c>
    </row>
    <row r="571" spans="1:6">
      <c r="A571" s="3" t="s">
        <v>1158</v>
      </c>
      <c r="B571" s="3">
        <v>2</v>
      </c>
      <c r="C571" s="30">
        <v>100</v>
      </c>
      <c r="D571" s="30">
        <v>133.30000000000001</v>
      </c>
      <c r="E571" s="30">
        <v>120</v>
      </c>
      <c r="F571" s="30">
        <f>71*2</f>
        <v>142</v>
      </c>
    </row>
    <row r="572" spans="1:6">
      <c r="A572" s="3" t="s">
        <v>1159</v>
      </c>
      <c r="B572" s="3">
        <v>2</v>
      </c>
      <c r="C572" s="30">
        <v>64</v>
      </c>
      <c r="D572" s="30">
        <v>121.5</v>
      </c>
      <c r="E572" s="30">
        <v>120</v>
      </c>
      <c r="F572" s="30">
        <f>2*49</f>
        <v>98</v>
      </c>
    </row>
    <row r="573" spans="1:6">
      <c r="A573" s="3" t="s">
        <v>1160</v>
      </c>
      <c r="B573" s="3">
        <v>2</v>
      </c>
      <c r="C573" s="30">
        <v>122</v>
      </c>
      <c r="D573" s="30">
        <v>166</v>
      </c>
      <c r="E573" s="30">
        <v>140</v>
      </c>
      <c r="F573" s="30">
        <f>2*78</f>
        <v>156</v>
      </c>
    </row>
    <row r="574" spans="1:6">
      <c r="A574" s="3" t="s">
        <v>1161</v>
      </c>
      <c r="B574" s="3">
        <v>2</v>
      </c>
      <c r="C574" s="30">
        <v>736</v>
      </c>
      <c r="D574" s="30">
        <v>1112</v>
      </c>
      <c r="E574" s="30">
        <v>878</v>
      </c>
      <c r="F574" s="30">
        <f>480*2</f>
        <v>960</v>
      </c>
    </row>
    <row r="575" spans="1:6">
      <c r="A575" s="800" t="s">
        <v>260</v>
      </c>
      <c r="B575" s="800"/>
      <c r="C575" s="526">
        <f t="shared" ref="C575" si="3">C571+C572+C573+C574</f>
        <v>1022</v>
      </c>
      <c r="D575" s="526">
        <f>D571+D572+D573+D574</f>
        <v>1532.8</v>
      </c>
      <c r="E575" s="526">
        <f>E571+E572+E573+E574</f>
        <v>1258</v>
      </c>
      <c r="F575" s="526">
        <f>F571+F572+F573+F574</f>
        <v>1356</v>
      </c>
    </row>
    <row r="577" spans="1:8">
      <c r="A577" s="886" t="s">
        <v>1188</v>
      </c>
      <c r="B577" s="886" t="s">
        <v>190</v>
      </c>
      <c r="C577" s="885" t="s">
        <v>55</v>
      </c>
    </row>
    <row r="578" spans="1:8">
      <c r="A578" s="886"/>
      <c r="B578" s="886"/>
      <c r="C578" s="885"/>
      <c r="F578" s="3" t="s">
        <v>1158</v>
      </c>
      <c r="G578" s="3">
        <v>1</v>
      </c>
      <c r="H578" s="30">
        <v>50</v>
      </c>
    </row>
    <row r="579" spans="1:8">
      <c r="A579" s="278" t="s">
        <v>1163</v>
      </c>
      <c r="B579" s="16" t="s">
        <v>1164</v>
      </c>
      <c r="C579" s="30">
        <v>340.76</v>
      </c>
      <c r="F579" s="3" t="s">
        <v>1159</v>
      </c>
      <c r="G579" s="3">
        <v>1</v>
      </c>
      <c r="H579" s="30">
        <v>32</v>
      </c>
    </row>
    <row r="580" spans="1:8">
      <c r="A580" s="278" t="s">
        <v>303</v>
      </c>
      <c r="B580" s="16" t="s">
        <v>1166</v>
      </c>
      <c r="C580" s="30">
        <v>360</v>
      </c>
      <c r="D580" s="49">
        <v>480</v>
      </c>
      <c r="F580" s="3" t="s">
        <v>1160</v>
      </c>
      <c r="G580" s="3">
        <v>1</v>
      </c>
      <c r="H580" s="30">
        <v>61</v>
      </c>
    </row>
    <row r="581" spans="1:8">
      <c r="A581" s="278" t="s">
        <v>295</v>
      </c>
      <c r="B581" s="16" t="s">
        <v>1165</v>
      </c>
      <c r="C581" s="30">
        <v>299</v>
      </c>
      <c r="F581" s="3" t="s">
        <v>1161</v>
      </c>
      <c r="G581" s="3">
        <v>1</v>
      </c>
      <c r="H581" s="30">
        <f>736/2</f>
        <v>368</v>
      </c>
    </row>
    <row r="582" spans="1:8">
      <c r="A582" s="278" t="s">
        <v>283</v>
      </c>
      <c r="B582" s="16" t="s">
        <v>1167</v>
      </c>
      <c r="C582" s="30">
        <v>358.33</v>
      </c>
      <c r="F582" s="800" t="s">
        <v>260</v>
      </c>
      <c r="G582" s="800"/>
      <c r="H582" s="219">
        <f>H578+H579+H580+H581</f>
        <v>511</v>
      </c>
    </row>
    <row r="584" spans="1:8">
      <c r="A584" s="889" t="s">
        <v>1187</v>
      </c>
      <c r="B584" s="889"/>
      <c r="C584" s="390" t="s">
        <v>33</v>
      </c>
      <c r="D584" s="390" t="s">
        <v>900</v>
      </c>
      <c r="E584" s="390" t="s">
        <v>1186</v>
      </c>
      <c r="F584" s="390" t="s">
        <v>721</v>
      </c>
    </row>
    <row r="585" spans="1:8">
      <c r="A585" s="790" t="s">
        <v>1180</v>
      </c>
      <c r="B585" s="790"/>
      <c r="C585" s="805" t="s">
        <v>1185</v>
      </c>
      <c r="D585" s="805" t="s">
        <v>1184</v>
      </c>
      <c r="E585" s="822">
        <v>1650</v>
      </c>
      <c r="F585" s="805" t="s">
        <v>1172</v>
      </c>
    </row>
    <row r="586" spans="1:8">
      <c r="A586" s="790"/>
      <c r="B586" s="790"/>
      <c r="C586" s="805"/>
      <c r="D586" s="805"/>
      <c r="E586" s="822"/>
      <c r="F586" s="805"/>
    </row>
    <row r="587" spans="1:8">
      <c r="A587" s="790"/>
      <c r="B587" s="790"/>
      <c r="C587" s="805"/>
      <c r="D587" s="805"/>
      <c r="E587" s="822"/>
      <c r="F587" s="805"/>
    </row>
    <row r="588" spans="1:8">
      <c r="A588" s="790" t="s">
        <v>1183</v>
      </c>
      <c r="B588" s="790"/>
      <c r="C588" s="805" t="s">
        <v>1182</v>
      </c>
      <c r="D588" s="805" t="s">
        <v>1181</v>
      </c>
      <c r="E588" s="822">
        <v>1700</v>
      </c>
      <c r="F588" s="805" t="s">
        <v>1172</v>
      </c>
    </row>
    <row r="589" spans="1:8">
      <c r="A589" s="790"/>
      <c r="B589" s="790"/>
      <c r="C589" s="805"/>
      <c r="D589" s="805"/>
      <c r="E589" s="822"/>
      <c r="F589" s="805"/>
    </row>
    <row r="590" spans="1:8">
      <c r="A590" s="790"/>
      <c r="B590" s="790"/>
      <c r="C590" s="805"/>
      <c r="D590" s="805"/>
      <c r="E590" s="822"/>
      <c r="F590" s="805"/>
    </row>
    <row r="591" spans="1:8">
      <c r="A591" s="878" t="s">
        <v>1180</v>
      </c>
      <c r="B591" s="878"/>
      <c r="C591" s="890" t="s">
        <v>1179</v>
      </c>
      <c r="D591" s="890"/>
      <c r="E591" s="892"/>
      <c r="F591" s="891" t="s">
        <v>1178</v>
      </c>
    </row>
    <row r="592" spans="1:8">
      <c r="A592" s="878"/>
      <c r="B592" s="878"/>
      <c r="C592" s="890"/>
      <c r="D592" s="890"/>
      <c r="E592" s="892"/>
      <c r="F592" s="891"/>
    </row>
    <row r="593" spans="1:6">
      <c r="A593" s="878"/>
      <c r="B593" s="878"/>
      <c r="C593" s="890"/>
      <c r="D593" s="890"/>
      <c r="E593" s="892"/>
      <c r="F593" s="891"/>
    </row>
    <row r="594" spans="1:6">
      <c r="A594" s="790" t="s">
        <v>1177</v>
      </c>
      <c r="B594" s="790"/>
      <c r="C594" s="805" t="s">
        <v>1176</v>
      </c>
      <c r="D594" s="805" t="s">
        <v>1175</v>
      </c>
      <c r="E594" s="822">
        <v>3000</v>
      </c>
      <c r="F594" s="805" t="s">
        <v>1172</v>
      </c>
    </row>
    <row r="595" spans="1:6">
      <c r="A595" s="790"/>
      <c r="B595" s="790"/>
      <c r="C595" s="805"/>
      <c r="D595" s="805"/>
      <c r="E595" s="822"/>
      <c r="F595" s="805"/>
    </row>
    <row r="596" spans="1:6">
      <c r="A596" s="790"/>
      <c r="B596" s="790"/>
      <c r="C596" s="805"/>
      <c r="D596" s="805"/>
      <c r="E596" s="822"/>
      <c r="F596" s="805"/>
    </row>
    <row r="597" spans="1:6">
      <c r="A597" s="790" t="s">
        <v>1174</v>
      </c>
      <c r="B597" s="790"/>
      <c r="C597" s="805" t="s">
        <v>1173</v>
      </c>
      <c r="D597" s="805" t="s">
        <v>1169</v>
      </c>
      <c r="E597" s="822">
        <v>4900</v>
      </c>
      <c r="F597" s="805" t="s">
        <v>1172</v>
      </c>
    </row>
    <row r="598" spans="1:6">
      <c r="A598" s="790"/>
      <c r="B598" s="790"/>
      <c r="C598" s="805"/>
      <c r="D598" s="805"/>
      <c r="E598" s="822"/>
      <c r="F598" s="805"/>
    </row>
    <row r="599" spans="1:6">
      <c r="A599" s="790"/>
      <c r="B599" s="790"/>
      <c r="C599" s="805"/>
      <c r="D599" s="805"/>
      <c r="E599" s="822"/>
      <c r="F599" s="805"/>
    </row>
    <row r="600" spans="1:6">
      <c r="A600" s="790" t="s">
        <v>1171</v>
      </c>
      <c r="B600" s="790"/>
      <c r="C600" s="805" t="s">
        <v>1170</v>
      </c>
      <c r="D600" s="805" t="s">
        <v>1169</v>
      </c>
      <c r="E600" s="822">
        <v>2200</v>
      </c>
      <c r="F600" s="805" t="s">
        <v>1168</v>
      </c>
    </row>
    <row r="601" spans="1:6">
      <c r="A601" s="790"/>
      <c r="B601" s="790"/>
      <c r="C601" s="805"/>
      <c r="D601" s="805"/>
      <c r="E601" s="822"/>
      <c r="F601" s="805"/>
    </row>
    <row r="602" spans="1:6">
      <c r="A602" s="790"/>
      <c r="B602" s="790"/>
      <c r="C602" s="805"/>
      <c r="D602" s="805"/>
      <c r="E602" s="822"/>
      <c r="F602" s="805"/>
    </row>
    <row r="604" spans="1:6">
      <c r="A604" s="528" t="s">
        <v>1258</v>
      </c>
      <c r="B604" s="413" t="s">
        <v>1196</v>
      </c>
      <c r="C604" s="413" t="s">
        <v>1195</v>
      </c>
    </row>
    <row r="605" spans="1:6">
      <c r="A605" s="412" t="s">
        <v>1189</v>
      </c>
      <c r="B605" s="3">
        <v>47</v>
      </c>
      <c r="C605" s="30">
        <v>975.25</v>
      </c>
      <c r="D605" s="215">
        <f>C605/B605</f>
        <v>20.75</v>
      </c>
      <c r="E605" s="412" t="s">
        <v>1189</v>
      </c>
    </row>
    <row r="606" spans="1:6">
      <c r="A606" s="412" t="s">
        <v>1190</v>
      </c>
      <c r="B606" s="3">
        <v>26</v>
      </c>
      <c r="C606" s="30">
        <v>933.4</v>
      </c>
      <c r="D606" s="215">
        <f>C606/B606</f>
        <v>35.9</v>
      </c>
      <c r="E606" s="412" t="s">
        <v>1190</v>
      </c>
    </row>
    <row r="607" spans="1:6">
      <c r="A607" s="412" t="s">
        <v>1191</v>
      </c>
      <c r="B607" s="3">
        <v>16</v>
      </c>
      <c r="C607" s="30">
        <v>256</v>
      </c>
    </row>
    <row r="608" spans="1:6">
      <c r="A608" s="412" t="s">
        <v>1192</v>
      </c>
      <c r="B608" s="3">
        <v>12</v>
      </c>
      <c r="C608" s="30">
        <v>123.6</v>
      </c>
    </row>
    <row r="609" spans="1:9">
      <c r="A609" s="412" t="s">
        <v>1193</v>
      </c>
      <c r="B609" s="3">
        <v>60</v>
      </c>
      <c r="C609" s="30">
        <v>447</v>
      </c>
    </row>
    <row r="610" spans="1:9">
      <c r="A610" s="412" t="s">
        <v>1194</v>
      </c>
      <c r="B610" s="3">
        <v>4</v>
      </c>
      <c r="C610" s="30">
        <v>98</v>
      </c>
      <c r="G610" s="72"/>
    </row>
    <row r="611" spans="1:9">
      <c r="A611" s="412" t="s">
        <v>56</v>
      </c>
      <c r="B611" s="315">
        <v>180</v>
      </c>
      <c r="C611" s="30">
        <v>180</v>
      </c>
      <c r="D611" s="72" t="s">
        <v>1200</v>
      </c>
      <c r="G611" s="72"/>
    </row>
    <row r="612" spans="1:9">
      <c r="A612" s="882" t="s">
        <v>238</v>
      </c>
      <c r="B612" s="882"/>
      <c r="C612" s="219">
        <f>C605+C606+C607+C608+C609+C610+C611</f>
        <v>3013.25</v>
      </c>
      <c r="D612" s="269">
        <v>2800</v>
      </c>
    </row>
    <row r="613" spans="1:9">
      <c r="A613" s="529"/>
      <c r="B613" s="529"/>
      <c r="C613" s="215"/>
    </row>
    <row r="614" spans="1:9">
      <c r="A614" s="808" t="s">
        <v>1197</v>
      </c>
      <c r="B614" s="808" t="s">
        <v>1237</v>
      </c>
      <c r="C614" s="808" t="s">
        <v>1229</v>
      </c>
      <c r="D614" s="808" t="s">
        <v>238</v>
      </c>
      <c r="E614" s="808" t="s">
        <v>1230</v>
      </c>
      <c r="F614" s="806" t="s">
        <v>1198</v>
      </c>
    </row>
    <row r="615" spans="1:9">
      <c r="A615" s="808"/>
      <c r="B615" s="808"/>
      <c r="C615" s="808"/>
      <c r="D615" s="808"/>
      <c r="E615" s="808"/>
      <c r="F615" s="807"/>
      <c r="G615">
        <v>8000</v>
      </c>
      <c r="H615" s="72">
        <v>1500</v>
      </c>
    </row>
    <row r="616" spans="1:9">
      <c r="A616" s="310" t="s">
        <v>1231</v>
      </c>
      <c r="B616" s="559">
        <v>6864</v>
      </c>
      <c r="C616" s="559">
        <v>500</v>
      </c>
      <c r="D616" s="560">
        <f>B616+C616</f>
        <v>7364</v>
      </c>
      <c r="E616" s="561" t="s">
        <v>1245</v>
      </c>
      <c r="F616" s="562" t="s">
        <v>1211</v>
      </c>
      <c r="G616" s="541">
        <v>1500</v>
      </c>
      <c r="H616" t="s">
        <v>1320</v>
      </c>
      <c r="I616" t="s">
        <v>1321</v>
      </c>
    </row>
    <row r="617" spans="1:9">
      <c r="A617" s="539" t="s">
        <v>1232</v>
      </c>
      <c r="B617" s="822">
        <v>8360</v>
      </c>
      <c r="C617" s="822"/>
      <c r="D617" s="311">
        <f>B617</f>
        <v>8360</v>
      </c>
      <c r="E617" s="3"/>
      <c r="F617" s="3" t="s">
        <v>1199</v>
      </c>
    </row>
    <row r="618" spans="1:9">
      <c r="A618" s="539" t="s">
        <v>1233</v>
      </c>
      <c r="B618" s="538">
        <f>450*16</f>
        <v>7200</v>
      </c>
      <c r="C618" s="538">
        <v>1000</v>
      </c>
      <c r="D618" s="311">
        <f t="shared" ref="D618:D620" si="4">B618+C618</f>
        <v>8200</v>
      </c>
      <c r="E618" s="3" t="s">
        <v>1236</v>
      </c>
      <c r="F618" s="3" t="s">
        <v>1199</v>
      </c>
      <c r="G618" s="558">
        <v>0.625</v>
      </c>
      <c r="H618" s="11">
        <v>8064</v>
      </c>
      <c r="I618">
        <v>1200</v>
      </c>
    </row>
    <row r="619" spans="1:9">
      <c r="A619" s="539" t="s">
        <v>1234</v>
      </c>
      <c r="B619" s="315">
        <f>465*16</f>
        <v>7440</v>
      </c>
      <c r="C619" s="315">
        <v>1200</v>
      </c>
      <c r="D619" s="311">
        <f t="shared" si="4"/>
        <v>8640</v>
      </c>
      <c r="E619" s="3" t="s">
        <v>1236</v>
      </c>
      <c r="F619" s="3" t="s">
        <v>1199</v>
      </c>
    </row>
    <row r="620" spans="1:9">
      <c r="A620" s="539" t="s">
        <v>1235</v>
      </c>
      <c r="B620" s="315">
        <f>500*16</f>
        <v>8000</v>
      </c>
      <c r="C620" s="315">
        <v>1500</v>
      </c>
      <c r="D620" s="311">
        <f t="shared" si="4"/>
        <v>9500</v>
      </c>
      <c r="E620" s="3" t="s">
        <v>1236</v>
      </c>
      <c r="F620" s="3" t="s">
        <v>1199</v>
      </c>
    </row>
    <row r="621" spans="1:9">
      <c r="A621" s="117"/>
      <c r="B621" s="48"/>
      <c r="C621" s="11"/>
      <c r="D621" s="11"/>
      <c r="E621" s="1"/>
      <c r="F621" s="11"/>
      <c r="H621" s="117"/>
    </row>
    <row r="622" spans="1:9">
      <c r="A622" s="117"/>
      <c r="B622" s="118"/>
      <c r="C622" s="490"/>
      <c r="D622" s="490"/>
      <c r="F622">
        <v>1200</v>
      </c>
      <c r="H622" s="117"/>
    </row>
    <row r="623" spans="1:9">
      <c r="A623" s="218" t="s">
        <v>1210</v>
      </c>
      <c r="B623" s="101" t="s">
        <v>1198</v>
      </c>
      <c r="C623" s="101" t="s">
        <v>1238</v>
      </c>
      <c r="H623" s="117"/>
    </row>
    <row r="624" spans="1:9">
      <c r="A624" s="540" t="s">
        <v>1211</v>
      </c>
      <c r="B624" s="315">
        <v>1600</v>
      </c>
      <c r="C624" s="280" t="s">
        <v>527</v>
      </c>
      <c r="D624" s="490"/>
      <c r="F624" s="117"/>
    </row>
    <row r="625" spans="1:6">
      <c r="A625" s="540" t="s">
        <v>1212</v>
      </c>
      <c r="B625" s="280"/>
      <c r="C625" s="280"/>
      <c r="D625" s="490"/>
      <c r="F625" s="117"/>
    </row>
    <row r="626" spans="1:6">
      <c r="A626" s="540" t="s">
        <v>1213</v>
      </c>
      <c r="B626" s="280">
        <v>2500</v>
      </c>
      <c r="C626" s="280">
        <v>2000</v>
      </c>
      <c r="D626" s="11"/>
    </row>
    <row r="628" spans="1:6">
      <c r="A628" s="330" t="s">
        <v>1201</v>
      </c>
      <c r="B628" s="530" t="s">
        <v>1202</v>
      </c>
      <c r="C628" s="530" t="s">
        <v>1203</v>
      </c>
      <c r="D628" s="530" t="s">
        <v>1204</v>
      </c>
    </row>
    <row r="629" spans="1:6">
      <c r="A629" s="330" t="s">
        <v>1205</v>
      </c>
      <c r="B629" s="30">
        <v>735</v>
      </c>
      <c r="C629" s="30">
        <v>756</v>
      </c>
      <c r="D629" s="30">
        <v>751.8</v>
      </c>
    </row>
    <row r="630" spans="1:6">
      <c r="A630" s="532" t="s">
        <v>56</v>
      </c>
      <c r="B630" s="533">
        <v>250</v>
      </c>
      <c r="C630" s="533">
        <v>250</v>
      </c>
      <c r="D630" s="534" t="s">
        <v>527</v>
      </c>
    </row>
    <row r="631" spans="1:6">
      <c r="A631" s="531" t="s">
        <v>260</v>
      </c>
      <c r="B631" s="404">
        <f>B629+B630</f>
        <v>985</v>
      </c>
      <c r="C631" s="404">
        <f>C629+C630</f>
        <v>1006</v>
      </c>
      <c r="D631" s="535">
        <f>D629</f>
        <v>751.8</v>
      </c>
    </row>
    <row r="632" spans="1:6">
      <c r="A632" s="384" t="s">
        <v>1139</v>
      </c>
      <c r="B632" s="514"/>
      <c r="C632" s="384" t="s">
        <v>1209</v>
      </c>
      <c r="D632" s="536" t="s">
        <v>1208</v>
      </c>
    </row>
    <row r="633" spans="1:6">
      <c r="A633" s="3"/>
    </row>
    <row r="634" spans="1:6">
      <c r="A634" s="3"/>
    </row>
    <row r="635" spans="1:6">
      <c r="A635" s="330" t="s">
        <v>1206</v>
      </c>
      <c r="B635" s="331"/>
    </row>
    <row r="636" spans="1:6">
      <c r="A636" s="330" t="s">
        <v>1207</v>
      </c>
      <c r="B636" s="16"/>
      <c r="E636" t="s">
        <v>1220</v>
      </c>
    </row>
    <row r="638" spans="1:6">
      <c r="A638" s="330" t="s">
        <v>1214</v>
      </c>
      <c r="B638" s="530" t="s">
        <v>881</v>
      </c>
    </row>
    <row r="639" spans="1:6">
      <c r="A639" s="330" t="s">
        <v>1215</v>
      </c>
      <c r="B639" s="30">
        <v>48.47</v>
      </c>
    </row>
    <row r="640" spans="1:6">
      <c r="A640" s="330" t="s">
        <v>56</v>
      </c>
      <c r="B640" s="30">
        <v>35.99</v>
      </c>
    </row>
    <row r="641" spans="1:3">
      <c r="A641" s="277" t="s">
        <v>260</v>
      </c>
      <c r="B641" s="30">
        <f>B639+B640</f>
        <v>84.460000000000008</v>
      </c>
    </row>
    <row r="643" spans="1:3">
      <c r="A643" s="330" t="s">
        <v>1216</v>
      </c>
      <c r="B643" s="530" t="s">
        <v>941</v>
      </c>
    </row>
    <row r="644" spans="1:3" ht="15" thickBot="1">
      <c r="A644" s="537" t="s">
        <v>1217</v>
      </c>
      <c r="B644" s="30"/>
    </row>
    <row r="645" spans="1:3">
      <c r="A645" s="537" t="s">
        <v>1218</v>
      </c>
      <c r="B645" s="425"/>
      <c r="C645" s="552" t="s">
        <v>1219</v>
      </c>
    </row>
    <row r="646" spans="1:3" ht="15" thickBot="1">
      <c r="A646" s="531" t="s">
        <v>260</v>
      </c>
      <c r="B646" s="425">
        <v>1060.3699999999999</v>
      </c>
      <c r="C646" s="553">
        <v>919.9</v>
      </c>
    </row>
    <row r="648" spans="1:3">
      <c r="A648" s="330" t="s">
        <v>1223</v>
      </c>
      <c r="B648" s="16"/>
    </row>
    <row r="649" spans="1:3">
      <c r="A649" s="330" t="s">
        <v>1221</v>
      </c>
      <c r="B649" s="16"/>
    </row>
    <row r="650" spans="1:3">
      <c r="A650" s="330" t="s">
        <v>1222</v>
      </c>
      <c r="B650" s="16"/>
    </row>
    <row r="652" spans="1:3">
      <c r="A652" s="330" t="s">
        <v>1226</v>
      </c>
      <c r="B652" s="530" t="s">
        <v>1239</v>
      </c>
      <c r="C652" s="530" t="s">
        <v>1228</v>
      </c>
    </row>
    <row r="653" spans="1:3">
      <c r="A653" s="3" t="s">
        <v>1224</v>
      </c>
      <c r="B653" s="30"/>
      <c r="C653" s="16"/>
    </row>
    <row r="654" spans="1:3">
      <c r="A654" s="3" t="s">
        <v>666</v>
      </c>
      <c r="B654" s="30">
        <f>1600*2</f>
        <v>3200</v>
      </c>
      <c r="C654" s="16"/>
    </row>
    <row r="655" spans="1:3">
      <c r="A655" s="3" t="s">
        <v>1225</v>
      </c>
      <c r="B655" s="30"/>
      <c r="C655" s="16"/>
    </row>
    <row r="656" spans="1:3">
      <c r="A656" s="519" t="s">
        <v>1227</v>
      </c>
      <c r="B656" s="489">
        <f>1915*2</f>
        <v>3830</v>
      </c>
      <c r="C656" s="290" t="s">
        <v>949</v>
      </c>
    </row>
    <row r="657" spans="1:5">
      <c r="A657" s="3" t="s">
        <v>1246</v>
      </c>
      <c r="B657" s="30"/>
      <c r="C657" s="100"/>
    </row>
    <row r="659" spans="1:5">
      <c r="A659" s="101" t="s">
        <v>1240</v>
      </c>
      <c r="B659" s="101" t="s">
        <v>1242</v>
      </c>
    </row>
    <row r="660" spans="1:5">
      <c r="A660" s="821" t="s">
        <v>1241</v>
      </c>
      <c r="B660" s="101" t="s">
        <v>1243</v>
      </c>
    </row>
    <row r="661" spans="1:5">
      <c r="A661" s="821"/>
      <c r="B661" s="519" t="s">
        <v>1244</v>
      </c>
    </row>
    <row r="663" spans="1:5">
      <c r="A663" s="218" t="s">
        <v>1251</v>
      </c>
      <c r="B663" s="218" t="s">
        <v>881</v>
      </c>
    </row>
    <row r="664" spans="1:5">
      <c r="A664" s="218" t="s">
        <v>1252</v>
      </c>
      <c r="B664" s="30">
        <v>64.64</v>
      </c>
    </row>
    <row r="666" spans="1:5">
      <c r="A666" s="84" t="s">
        <v>1253</v>
      </c>
      <c r="B666" s="3" t="s">
        <v>528</v>
      </c>
      <c r="C666" s="3" t="s">
        <v>526</v>
      </c>
      <c r="D666" s="3" t="s">
        <v>271</v>
      </c>
      <c r="E666" s="3" t="s">
        <v>1254</v>
      </c>
    </row>
    <row r="667" spans="1:5">
      <c r="A667" s="84" t="s">
        <v>1257</v>
      </c>
      <c r="B667" s="30">
        <v>630</v>
      </c>
      <c r="C667" s="489">
        <v>385</v>
      </c>
      <c r="D667" s="30">
        <v>507.65</v>
      </c>
      <c r="E667" s="30">
        <v>514.92999999999995</v>
      </c>
    </row>
    <row r="668" spans="1:5">
      <c r="A668" s="84" t="s">
        <v>1255</v>
      </c>
      <c r="B668" s="84" t="s">
        <v>1259</v>
      </c>
      <c r="C668" s="84" t="s">
        <v>1259</v>
      </c>
      <c r="D668" s="84" t="s">
        <v>1256</v>
      </c>
      <c r="E668" s="84" t="s">
        <v>1256</v>
      </c>
    </row>
    <row r="669" spans="1:5">
      <c r="A669" s="117"/>
      <c r="B669" s="117"/>
      <c r="C669" s="117"/>
      <c r="D669" s="117"/>
      <c r="E669" s="117"/>
    </row>
    <row r="670" spans="1:5">
      <c r="A670" s="330" t="s">
        <v>1262</v>
      </c>
      <c r="B670" s="530" t="s">
        <v>1104</v>
      </c>
      <c r="C670" s="530" t="s">
        <v>1264</v>
      </c>
      <c r="D670" s="117"/>
      <c r="E670" s="117"/>
    </row>
    <row r="671" spans="1:5">
      <c r="A671" s="330" t="s">
        <v>1263</v>
      </c>
      <c r="B671" s="30">
        <f>1115+163.94</f>
        <v>1278.94</v>
      </c>
      <c r="C671" s="352">
        <v>620</v>
      </c>
      <c r="D671" s="117"/>
      <c r="E671" s="117"/>
    </row>
    <row r="672" spans="1:5">
      <c r="A672" s="330" t="s">
        <v>56</v>
      </c>
      <c r="B672" s="352">
        <v>56</v>
      </c>
      <c r="C672" s="280" t="s">
        <v>527</v>
      </c>
      <c r="D672" s="117"/>
      <c r="E672" s="117"/>
    </row>
    <row r="673" spans="1:5">
      <c r="A673" s="117"/>
      <c r="B673" s="117"/>
      <c r="C673" s="117"/>
      <c r="D673" s="117"/>
      <c r="E673" s="117"/>
    </row>
    <row r="674" spans="1:5" ht="15" thickBot="1"/>
    <row r="675" spans="1:5" ht="15" thickBot="1">
      <c r="A675" s="547" t="s">
        <v>1260</v>
      </c>
      <c r="B675" s="548" t="s">
        <v>1265</v>
      </c>
      <c r="C675" s="549" t="s">
        <v>346</v>
      </c>
    </row>
    <row r="676" spans="1:5">
      <c r="A676" s="544" t="s">
        <v>319</v>
      </c>
      <c r="B676" s="545" t="s">
        <v>33</v>
      </c>
      <c r="C676" s="546" t="s">
        <v>320</v>
      </c>
    </row>
    <row r="677" spans="1:5">
      <c r="A677" s="94" t="s">
        <v>1073</v>
      </c>
      <c r="B677" s="100" t="s">
        <v>323</v>
      </c>
      <c r="C677" s="35">
        <v>7.05</v>
      </c>
    </row>
    <row r="678" spans="1:5">
      <c r="A678" s="94" t="s">
        <v>326</v>
      </c>
      <c r="B678" s="100" t="s">
        <v>327</v>
      </c>
      <c r="C678" s="523">
        <v>6.85</v>
      </c>
    </row>
    <row r="679" spans="1:5">
      <c r="A679" s="94" t="s">
        <v>330</v>
      </c>
      <c r="B679" s="100" t="s">
        <v>331</v>
      </c>
      <c r="C679" s="35">
        <v>6.95</v>
      </c>
    </row>
    <row r="680" spans="1:5">
      <c r="A680" s="94" t="s">
        <v>334</v>
      </c>
      <c r="B680" s="100" t="s">
        <v>335</v>
      </c>
      <c r="C680" s="35">
        <v>6.94</v>
      </c>
    </row>
    <row r="681" spans="1:5">
      <c r="A681" s="94" t="s">
        <v>693</v>
      </c>
      <c r="B681" s="100" t="s">
        <v>694</v>
      </c>
      <c r="C681" s="523">
        <v>7.66</v>
      </c>
    </row>
    <row r="682" spans="1:5">
      <c r="A682" s="3" t="s">
        <v>1266</v>
      </c>
      <c r="B682" s="100" t="s">
        <v>1267</v>
      </c>
      <c r="C682" s="16"/>
    </row>
    <row r="683" spans="1:5">
      <c r="A683" s="3" t="s">
        <v>1268</v>
      </c>
      <c r="B683" s="100" t="s">
        <v>1269</v>
      </c>
      <c r="C683" s="16"/>
    </row>
    <row r="687" spans="1:5">
      <c r="A687" s="551" t="s">
        <v>1261</v>
      </c>
      <c r="B687" s="530" t="s">
        <v>956</v>
      </c>
    </row>
    <row r="688" spans="1:5">
      <c r="A688" s="551" t="s">
        <v>1270</v>
      </c>
      <c r="B688" s="30">
        <v>130</v>
      </c>
    </row>
    <row r="690" spans="1:4">
      <c r="A690" s="530" t="s">
        <v>118</v>
      </c>
      <c r="B690" s="530" t="s">
        <v>1278</v>
      </c>
      <c r="C690" s="530" t="s">
        <v>1279</v>
      </c>
      <c r="D690" s="530" t="s">
        <v>1280</v>
      </c>
    </row>
    <row r="691" spans="1:4">
      <c r="A691" s="16" t="s">
        <v>1271</v>
      </c>
      <c r="B691" s="3">
        <v>1</v>
      </c>
      <c r="C691" s="30">
        <v>499</v>
      </c>
      <c r="D691" s="16"/>
    </row>
    <row r="692" spans="1:4">
      <c r="A692" s="16" t="s">
        <v>1272</v>
      </c>
      <c r="B692" s="3">
        <v>1</v>
      </c>
      <c r="C692" s="30">
        <v>15.9</v>
      </c>
      <c r="D692" s="16"/>
    </row>
    <row r="693" spans="1:4">
      <c r="A693" s="16" t="s">
        <v>1273</v>
      </c>
      <c r="B693" s="3">
        <v>2</v>
      </c>
      <c r="C693" s="30">
        <v>3</v>
      </c>
      <c r="D693" s="16"/>
    </row>
    <row r="694" spans="1:4">
      <c r="A694" s="16" t="s">
        <v>1274</v>
      </c>
      <c r="B694" s="3">
        <v>1</v>
      </c>
      <c r="C694" s="30">
        <v>21.9</v>
      </c>
      <c r="D694" s="16"/>
    </row>
    <row r="695" spans="1:4">
      <c r="A695" s="16" t="s">
        <v>1275</v>
      </c>
      <c r="B695" s="3">
        <v>1</v>
      </c>
      <c r="C695" s="30">
        <v>8.9</v>
      </c>
      <c r="D695" s="16"/>
    </row>
    <row r="696" spans="1:4">
      <c r="A696" s="16" t="s">
        <v>1276</v>
      </c>
      <c r="B696" s="3">
        <v>1</v>
      </c>
      <c r="C696" s="30">
        <v>5.9</v>
      </c>
      <c r="D696" s="16"/>
    </row>
    <row r="697" spans="1:4">
      <c r="A697" s="16" t="s">
        <v>1277</v>
      </c>
      <c r="B697" s="3">
        <v>1</v>
      </c>
      <c r="C697" s="30">
        <v>2.5</v>
      </c>
      <c r="D697" s="16"/>
    </row>
    <row r="698" spans="1:4">
      <c r="A698" s="789" t="s">
        <v>260</v>
      </c>
      <c r="B698" s="789"/>
      <c r="C698" s="550">
        <f>C691+C692+C693+C694+C695+C696+C697</f>
        <v>557.09999999999991</v>
      </c>
      <c r="D698" s="330"/>
    </row>
    <row r="700" spans="1:4">
      <c r="A700" s="823" t="s">
        <v>1281</v>
      </c>
      <c r="B700" s="530" t="s">
        <v>1284</v>
      </c>
      <c r="C700" s="530" t="s">
        <v>1285</v>
      </c>
      <c r="D700" s="530" t="s">
        <v>1288</v>
      </c>
    </row>
    <row r="701" spans="1:4">
      <c r="A701" s="824"/>
      <c r="B701" s="530" t="s">
        <v>1291</v>
      </c>
      <c r="C701" s="530" t="s">
        <v>1290</v>
      </c>
      <c r="D701" s="530" t="s">
        <v>1289</v>
      </c>
    </row>
    <row r="702" spans="1:4">
      <c r="A702" s="331" t="s">
        <v>1282</v>
      </c>
      <c r="B702" s="30">
        <v>1300</v>
      </c>
      <c r="C702" s="30">
        <v>910</v>
      </c>
      <c r="D702" s="30">
        <v>780</v>
      </c>
    </row>
    <row r="703" spans="1:4">
      <c r="A703" s="277" t="s">
        <v>1283</v>
      </c>
      <c r="B703" s="30">
        <v>150</v>
      </c>
      <c r="C703" s="30">
        <v>200</v>
      </c>
      <c r="D703" s="30">
        <v>200</v>
      </c>
    </row>
    <row r="705" spans="1:6">
      <c r="A705" s="808" t="s">
        <v>1286</v>
      </c>
      <c r="B705" s="808" t="s">
        <v>411</v>
      </c>
      <c r="C705" s="101" t="s">
        <v>1300</v>
      </c>
      <c r="D705" s="101" t="s">
        <v>1297</v>
      </c>
      <c r="E705" s="101" t="s">
        <v>1299</v>
      </c>
      <c r="F705" s="101" t="s">
        <v>1298</v>
      </c>
    </row>
    <row r="706" spans="1:6">
      <c r="A706" s="808"/>
      <c r="B706" s="808"/>
      <c r="C706" s="101">
        <v>999571824</v>
      </c>
      <c r="D706" s="101" t="s">
        <v>287</v>
      </c>
      <c r="E706" s="101" t="s">
        <v>741</v>
      </c>
      <c r="F706" s="101" t="s">
        <v>751</v>
      </c>
    </row>
    <row r="707" spans="1:6">
      <c r="A707" s="3" t="s">
        <v>490</v>
      </c>
      <c r="B707" s="100" t="s">
        <v>1287</v>
      </c>
      <c r="C707" s="16">
        <f>432.11*2</f>
        <v>864.22</v>
      </c>
      <c r="D707" s="30">
        <f>2*449</f>
        <v>898</v>
      </c>
      <c r="E707" s="16"/>
      <c r="F707" s="342">
        <v>681.52</v>
      </c>
    </row>
    <row r="708" spans="1:6">
      <c r="A708" s="3" t="s">
        <v>739</v>
      </c>
      <c r="B708" s="100" t="s">
        <v>491</v>
      </c>
      <c r="C708" s="100" t="s">
        <v>983</v>
      </c>
      <c r="D708" s="30">
        <f>5*398</f>
        <v>1990</v>
      </c>
      <c r="E708" s="16"/>
      <c r="F708" s="342">
        <v>2046.25</v>
      </c>
    </row>
    <row r="709" spans="1:6">
      <c r="A709" s="893" t="s">
        <v>260</v>
      </c>
      <c r="B709" s="894"/>
      <c r="C709" s="557">
        <f>C707</f>
        <v>864.22</v>
      </c>
      <c r="D709" s="398">
        <f>D707+D708</f>
        <v>2888</v>
      </c>
      <c r="E709" s="398">
        <f t="shared" ref="E709:F709" si="5">E707+E708</f>
        <v>0</v>
      </c>
      <c r="F709" s="398">
        <f t="shared" si="5"/>
        <v>2727.77</v>
      </c>
    </row>
    <row r="711" spans="1:6">
      <c r="A711" s="218" t="s">
        <v>1292</v>
      </c>
      <c r="B711" s="101" t="s">
        <v>1293</v>
      </c>
      <c r="C711" s="101" t="s">
        <v>1294</v>
      </c>
      <c r="D711" s="101" t="s">
        <v>1295</v>
      </c>
    </row>
    <row r="712" spans="1:6">
      <c r="A712" s="218" t="s">
        <v>1296</v>
      </c>
      <c r="B712" s="309">
        <v>2872.1</v>
      </c>
      <c r="C712" s="30">
        <v>2872.1</v>
      </c>
      <c r="D712" s="16"/>
    </row>
    <row r="713" spans="1:6">
      <c r="E713">
        <f>2872.1/15</f>
        <v>191.47333333333333</v>
      </c>
    </row>
    <row r="714" spans="1:6">
      <c r="A714" s="555" t="s">
        <v>1301</v>
      </c>
      <c r="B714" s="101" t="s">
        <v>1302</v>
      </c>
      <c r="C714" s="101" t="s">
        <v>303</v>
      </c>
      <c r="D714" s="218" t="s">
        <v>972</v>
      </c>
    </row>
    <row r="715" spans="1:6">
      <c r="A715" s="218" t="s">
        <v>1303</v>
      </c>
      <c r="B715" s="30"/>
      <c r="C715" s="30">
        <v>725</v>
      </c>
      <c r="D715" s="30" t="s">
        <v>527</v>
      </c>
    </row>
    <row r="716" spans="1:6">
      <c r="A716" s="218" t="s">
        <v>1305</v>
      </c>
      <c r="B716" s="30">
        <v>411</v>
      </c>
      <c r="C716" s="30" t="s">
        <v>527</v>
      </c>
      <c r="D716" s="30" t="s">
        <v>527</v>
      </c>
    </row>
    <row r="717" spans="1:6">
      <c r="A717" s="218" t="s">
        <v>1304</v>
      </c>
      <c r="B717" s="30"/>
      <c r="C717" s="30" t="s">
        <v>527</v>
      </c>
      <c r="D717" s="30">
        <v>4780</v>
      </c>
    </row>
    <row r="719" spans="1:6">
      <c r="A719" s="218" t="s">
        <v>1306</v>
      </c>
      <c r="B719" s="101" t="s">
        <v>421</v>
      </c>
      <c r="C719" s="556" t="s">
        <v>1319</v>
      </c>
    </row>
    <row r="720" spans="1:6">
      <c r="A720" s="16"/>
      <c r="B720" s="30">
        <v>306</v>
      </c>
      <c r="C720" s="30">
        <v>398</v>
      </c>
    </row>
    <row r="722" spans="1:6">
      <c r="A722" s="218" t="s">
        <v>1309</v>
      </c>
      <c r="B722" s="101" t="s">
        <v>850</v>
      </c>
      <c r="C722" s="556" t="s">
        <v>757</v>
      </c>
      <c r="D722" s="101" t="s">
        <v>1330</v>
      </c>
    </row>
    <row r="723" spans="1:6">
      <c r="A723" s="218" t="s">
        <v>1307</v>
      </c>
      <c r="B723" s="30">
        <v>8900</v>
      </c>
      <c r="C723" s="30">
        <v>5100</v>
      </c>
      <c r="D723" s="30">
        <v>9459.92</v>
      </c>
    </row>
    <row r="724" spans="1:6">
      <c r="A724" s="218" t="s">
        <v>1308</v>
      </c>
      <c r="B724" s="30"/>
      <c r="C724" s="30"/>
      <c r="D724" s="16"/>
    </row>
    <row r="725" spans="1:6">
      <c r="A725" s="120" t="s">
        <v>260</v>
      </c>
      <c r="B725" s="30"/>
      <c r="C725" s="30"/>
      <c r="D725" s="16"/>
    </row>
    <row r="727" spans="1:6">
      <c r="A727" s="218" t="s">
        <v>1310</v>
      </c>
      <c r="B727" s="101" t="s">
        <v>411</v>
      </c>
      <c r="C727" s="101" t="s">
        <v>662</v>
      </c>
      <c r="D727" s="101" t="s">
        <v>1317</v>
      </c>
      <c r="E727" s="101" t="s">
        <v>1332</v>
      </c>
    </row>
    <row r="728" spans="1:6">
      <c r="A728" s="218" t="s">
        <v>1311</v>
      </c>
      <c r="B728" s="3">
        <v>1</v>
      </c>
      <c r="C728" s="30">
        <v>190.23</v>
      </c>
      <c r="D728" s="30">
        <v>130</v>
      </c>
      <c r="E728" s="30">
        <v>103.25</v>
      </c>
      <c r="F728" t="s">
        <v>1333</v>
      </c>
    </row>
    <row r="729" spans="1:6">
      <c r="A729" s="218" t="s">
        <v>1312</v>
      </c>
      <c r="B729" s="3">
        <v>2</v>
      </c>
      <c r="C729" s="30">
        <v>518.52</v>
      </c>
      <c r="D729" s="30">
        <v>286</v>
      </c>
      <c r="E729" s="30">
        <v>289.94</v>
      </c>
      <c r="F729" s="48">
        <v>512.86</v>
      </c>
    </row>
    <row r="730" spans="1:6">
      <c r="A730" s="218" t="s">
        <v>1313</v>
      </c>
      <c r="B730" s="3">
        <v>3</v>
      </c>
      <c r="C730" s="30">
        <v>175.92</v>
      </c>
      <c r="D730" s="30">
        <v>105</v>
      </c>
      <c r="E730" s="30">
        <v>71.7</v>
      </c>
    </row>
    <row r="731" spans="1:6">
      <c r="A731" s="218" t="s">
        <v>1314</v>
      </c>
      <c r="B731" s="3">
        <v>1</v>
      </c>
      <c r="C731" s="30">
        <v>37.54</v>
      </c>
      <c r="D731" s="30">
        <v>50</v>
      </c>
      <c r="E731" s="30">
        <v>30.25</v>
      </c>
    </row>
    <row r="732" spans="1:6">
      <c r="A732" s="218" t="s">
        <v>245</v>
      </c>
      <c r="B732" s="3">
        <v>1</v>
      </c>
      <c r="C732" s="30">
        <v>79.25</v>
      </c>
      <c r="D732" s="30">
        <v>55</v>
      </c>
      <c r="E732" s="30">
        <v>45.4</v>
      </c>
    </row>
    <row r="733" spans="1:6">
      <c r="A733" s="218" t="s">
        <v>1315</v>
      </c>
      <c r="B733" s="3">
        <v>3</v>
      </c>
      <c r="C733" s="30">
        <v>73.2</v>
      </c>
      <c r="D733" s="30">
        <v>114</v>
      </c>
      <c r="E733" s="30">
        <v>59.55</v>
      </c>
    </row>
    <row r="734" spans="1:6">
      <c r="A734" s="218" t="s">
        <v>1316</v>
      </c>
      <c r="B734" s="3">
        <v>1</v>
      </c>
      <c r="C734" s="30">
        <v>195.09</v>
      </c>
      <c r="D734" s="30">
        <v>110</v>
      </c>
      <c r="E734" s="30">
        <v>93.68</v>
      </c>
    </row>
    <row r="735" spans="1:6">
      <c r="A735" s="218" t="s">
        <v>1318</v>
      </c>
      <c r="B735" s="3">
        <v>1</v>
      </c>
      <c r="C735" s="30" t="s">
        <v>527</v>
      </c>
      <c r="D735" s="30">
        <v>80</v>
      </c>
      <c r="E735" s="30">
        <v>133.1</v>
      </c>
    </row>
    <row r="736" spans="1:6">
      <c r="A736" s="893" t="s">
        <v>260</v>
      </c>
      <c r="B736" s="894"/>
      <c r="C736" s="404">
        <f>C728+C729+C730+C731+C732+C733+C734</f>
        <v>1269.7499999999998</v>
      </c>
      <c r="D736" s="404">
        <f>D728+D729+D730+D731+D732+D733+D734+D735</f>
        <v>930</v>
      </c>
      <c r="E736" s="404">
        <f>E728+E729+E730+E731+E732+E733+E734+E735</f>
        <v>826.87</v>
      </c>
    </row>
    <row r="737" spans="1:5">
      <c r="A737" s="270"/>
      <c r="B737" s="270"/>
      <c r="C737" s="272"/>
      <c r="D737" s="272"/>
      <c r="E737" s="272"/>
    </row>
    <row r="738" spans="1:5">
      <c r="A738" s="218" t="s">
        <v>1237</v>
      </c>
      <c r="B738" s="101" t="s">
        <v>1323</v>
      </c>
      <c r="C738" s="101" t="s">
        <v>1324</v>
      </c>
      <c r="D738" s="101" t="s">
        <v>238</v>
      </c>
    </row>
    <row r="739" spans="1:5">
      <c r="A739" s="101" t="s">
        <v>1233</v>
      </c>
      <c r="B739" s="30">
        <v>7200</v>
      </c>
      <c r="C739" s="30">
        <v>1000</v>
      </c>
      <c r="D739" s="219">
        <f>C739+B739</f>
        <v>8200</v>
      </c>
    </row>
    <row r="740" spans="1:5">
      <c r="A740" s="101" t="s">
        <v>1234</v>
      </c>
      <c r="B740" s="30">
        <v>7440</v>
      </c>
      <c r="C740" s="30">
        <v>1200</v>
      </c>
      <c r="D740" s="219">
        <f t="shared" ref="D740:D742" si="6">C740+B740</f>
        <v>8640</v>
      </c>
    </row>
    <row r="741" spans="1:5">
      <c r="A741" s="101" t="s">
        <v>1235</v>
      </c>
      <c r="B741" s="30">
        <v>8000</v>
      </c>
      <c r="C741" s="30">
        <v>1500</v>
      </c>
      <c r="D741" s="219">
        <f t="shared" si="6"/>
        <v>9500</v>
      </c>
    </row>
    <row r="742" spans="1:5">
      <c r="A742" s="101" t="s">
        <v>1322</v>
      </c>
      <c r="B742" s="30">
        <v>8000</v>
      </c>
      <c r="C742" s="30">
        <v>1500</v>
      </c>
      <c r="D742" s="219">
        <f t="shared" si="6"/>
        <v>9500</v>
      </c>
    </row>
    <row r="744" spans="1:5">
      <c r="A744" s="554" t="s">
        <v>1325</v>
      </c>
      <c r="B744" s="16"/>
    </row>
    <row r="745" spans="1:5">
      <c r="A745" s="554" t="s">
        <v>1326</v>
      </c>
      <c r="B745" s="16"/>
    </row>
    <row r="746" spans="1:5">
      <c r="A746" s="554" t="s">
        <v>1327</v>
      </c>
      <c r="B746" s="16"/>
    </row>
    <row r="747" spans="1:5" ht="15" thickBot="1"/>
    <row r="748" spans="1:5">
      <c r="A748" s="484" t="s">
        <v>1331</v>
      </c>
      <c r="B748" s="503" t="s">
        <v>1072</v>
      </c>
      <c r="C748" s="819" t="s">
        <v>1328</v>
      </c>
      <c r="D748" s="820"/>
    </row>
    <row r="749" spans="1:5">
      <c r="A749" s="487" t="s">
        <v>319</v>
      </c>
      <c r="B749" s="483" t="s">
        <v>33</v>
      </c>
      <c r="C749" s="483" t="s">
        <v>1329</v>
      </c>
      <c r="D749" s="488" t="s">
        <v>1136</v>
      </c>
    </row>
    <row r="750" spans="1:5">
      <c r="A750" s="94" t="s">
        <v>334</v>
      </c>
      <c r="B750" s="100" t="s">
        <v>335</v>
      </c>
      <c r="C750" s="30">
        <v>8.6999999999999993</v>
      </c>
      <c r="D750" s="35">
        <v>8.6</v>
      </c>
    </row>
    <row r="751" spans="1:5" ht="15" thickBot="1">
      <c r="A751" s="95" t="s">
        <v>1073</v>
      </c>
      <c r="B751" s="153" t="s">
        <v>323</v>
      </c>
      <c r="C751" s="41">
        <v>7.98</v>
      </c>
      <c r="D751" s="37">
        <v>7.9</v>
      </c>
    </row>
    <row r="752" spans="1:5">
      <c r="A752" s="72"/>
      <c r="B752" s="1"/>
      <c r="C752" s="118"/>
      <c r="D752" s="118"/>
    </row>
    <row r="753" spans="1:6" ht="15" thickBot="1">
      <c r="A753" s="72"/>
      <c r="B753" s="1"/>
      <c r="C753" s="118"/>
      <c r="D753" s="118"/>
    </row>
    <row r="754" spans="1:6">
      <c r="A754" s="813" t="s">
        <v>1351</v>
      </c>
      <c r="B754" s="814"/>
      <c r="C754" s="814"/>
      <c r="D754" s="814"/>
      <c r="E754" s="814"/>
      <c r="F754" s="815"/>
    </row>
    <row r="755" spans="1:6" ht="15" thickBot="1">
      <c r="A755" s="816"/>
      <c r="B755" s="817"/>
      <c r="C755" s="817"/>
      <c r="D755" s="817"/>
      <c r="E755" s="817"/>
      <c r="F755" s="818"/>
    </row>
    <row r="756" spans="1:6">
      <c r="A756" s="563" t="s">
        <v>1335</v>
      </c>
      <c r="B756" s="563" t="s">
        <v>1340</v>
      </c>
      <c r="C756" s="281" t="s">
        <v>1334</v>
      </c>
      <c r="D756" s="279" t="s">
        <v>820</v>
      </c>
      <c r="E756" s="279" t="s">
        <v>1139</v>
      </c>
    </row>
    <row r="757" spans="1:6">
      <c r="A757" s="101" t="s">
        <v>1341</v>
      </c>
      <c r="B757" s="101" t="s">
        <v>1342</v>
      </c>
      <c r="C757" s="30">
        <v>6076.28</v>
      </c>
      <c r="D757" s="84" t="s">
        <v>1338</v>
      </c>
      <c r="E757" s="564" t="s">
        <v>1339</v>
      </c>
    </row>
    <row r="758" spans="1:6">
      <c r="A758" s="101" t="s">
        <v>667</v>
      </c>
      <c r="B758" s="101"/>
      <c r="C758" s="30"/>
      <c r="D758" s="84"/>
      <c r="E758" s="564"/>
    </row>
    <row r="759" spans="1:6">
      <c r="A759" s="101" t="s">
        <v>1343</v>
      </c>
      <c r="B759" s="101" t="s">
        <v>1344</v>
      </c>
      <c r="C759" s="30">
        <v>5520</v>
      </c>
      <c r="D759" s="84" t="s">
        <v>1337</v>
      </c>
      <c r="E759" s="564" t="s">
        <v>1336</v>
      </c>
    </row>
    <row r="760" spans="1:6">
      <c r="A760" s="101" t="s">
        <v>1345</v>
      </c>
      <c r="B760" s="218" t="s">
        <v>1347</v>
      </c>
      <c r="C760" s="30">
        <v>16596</v>
      </c>
      <c r="D760" s="16" t="s">
        <v>1349</v>
      </c>
      <c r="E760" s="16" t="s">
        <v>1350</v>
      </c>
    </row>
    <row r="761" spans="1:6">
      <c r="A761" s="101" t="s">
        <v>1345</v>
      </c>
      <c r="B761" s="218" t="s">
        <v>1346</v>
      </c>
      <c r="C761" s="30">
        <v>5816</v>
      </c>
      <c r="D761" s="16" t="s">
        <v>1349</v>
      </c>
      <c r="E761" s="16" t="s">
        <v>1350</v>
      </c>
    </row>
    <row r="762" spans="1:6">
      <c r="A762" s="101" t="s">
        <v>1345</v>
      </c>
      <c r="B762" s="218" t="s">
        <v>1348</v>
      </c>
      <c r="C762" s="30">
        <v>8966</v>
      </c>
      <c r="D762" s="16" t="s">
        <v>1349</v>
      </c>
      <c r="E762" s="16" t="s">
        <v>1350</v>
      </c>
    </row>
    <row r="763" spans="1:6">
      <c r="A763" s="101" t="s">
        <v>1345</v>
      </c>
      <c r="B763" s="218" t="s">
        <v>1352</v>
      </c>
      <c r="C763" s="30">
        <v>5070</v>
      </c>
      <c r="D763" s="16" t="s">
        <v>1349</v>
      </c>
      <c r="E763" s="16" t="s">
        <v>1350</v>
      </c>
    </row>
    <row r="764" spans="1:6">
      <c r="A764" s="101" t="s">
        <v>697</v>
      </c>
      <c r="B764" s="218" t="s">
        <v>1353</v>
      </c>
      <c r="C764" s="116">
        <v>5612.24</v>
      </c>
      <c r="D764" s="16" t="s">
        <v>972</v>
      </c>
      <c r="E764" s="16"/>
    </row>
    <row r="765" spans="1:6">
      <c r="A765" s="101" t="s">
        <v>189</v>
      </c>
      <c r="B765" s="218" t="s">
        <v>1354</v>
      </c>
      <c r="C765" s="116">
        <v>6800</v>
      </c>
      <c r="D765" s="16" t="s">
        <v>1360</v>
      </c>
      <c r="E765" s="16" t="s">
        <v>1350</v>
      </c>
    </row>
    <row r="766" spans="1:6">
      <c r="A766" s="101" t="s">
        <v>189</v>
      </c>
      <c r="B766" s="218" t="s">
        <v>1355</v>
      </c>
      <c r="C766" s="116">
        <v>5280</v>
      </c>
      <c r="D766" s="16" t="s">
        <v>1360</v>
      </c>
      <c r="E766" s="16" t="s">
        <v>1350</v>
      </c>
    </row>
    <row r="767" spans="1:6">
      <c r="A767" s="101" t="s">
        <v>189</v>
      </c>
      <c r="B767" s="218" t="s">
        <v>1356</v>
      </c>
      <c r="C767" s="116">
        <v>5280</v>
      </c>
      <c r="D767" s="16" t="s">
        <v>1360</v>
      </c>
      <c r="E767" s="16" t="s">
        <v>1350</v>
      </c>
    </row>
    <row r="768" spans="1:6">
      <c r="A768" s="101" t="s">
        <v>189</v>
      </c>
      <c r="B768" s="218" t="s">
        <v>1357</v>
      </c>
      <c r="C768" s="116">
        <v>5220</v>
      </c>
      <c r="D768" s="16" t="s">
        <v>1360</v>
      </c>
      <c r="E768" s="16" t="s">
        <v>1350</v>
      </c>
    </row>
    <row r="769" spans="1:6">
      <c r="A769" s="101" t="s">
        <v>884</v>
      </c>
      <c r="B769" s="218" t="s">
        <v>1358</v>
      </c>
      <c r="C769" s="30">
        <v>5198</v>
      </c>
      <c r="D769" s="16" t="s">
        <v>1359</v>
      </c>
      <c r="E769" s="16" t="s">
        <v>1350</v>
      </c>
      <c r="F769" s="165" t="s">
        <v>1414</v>
      </c>
    </row>
    <row r="771" spans="1:6">
      <c r="A771" s="525" t="s">
        <v>1363</v>
      </c>
      <c r="B771" s="354" t="s">
        <v>1060</v>
      </c>
      <c r="C771" s="354" t="s">
        <v>295</v>
      </c>
      <c r="D771" s="354" t="s">
        <v>421</v>
      </c>
      <c r="E771" s="354" t="s">
        <v>303</v>
      </c>
      <c r="F771" s="354" t="s">
        <v>891</v>
      </c>
    </row>
    <row r="772" spans="1:6">
      <c r="A772" s="3" t="s">
        <v>1158</v>
      </c>
      <c r="B772" s="3">
        <v>2</v>
      </c>
      <c r="C772" s="30">
        <v>100</v>
      </c>
      <c r="D772" s="30">
        <v>133.30000000000001</v>
      </c>
      <c r="E772" s="30">
        <v>120</v>
      </c>
      <c r="F772" s="30">
        <f>71*2</f>
        <v>142</v>
      </c>
    </row>
    <row r="773" spans="1:6">
      <c r="A773" s="3" t="s">
        <v>1159</v>
      </c>
      <c r="B773" s="3">
        <v>2</v>
      </c>
      <c r="C773" s="30">
        <v>64</v>
      </c>
      <c r="D773" s="30">
        <v>121.5</v>
      </c>
      <c r="E773" s="30">
        <v>120</v>
      </c>
      <c r="F773" s="30">
        <f>2*49</f>
        <v>98</v>
      </c>
    </row>
    <row r="774" spans="1:6">
      <c r="A774" s="3" t="s">
        <v>1160</v>
      </c>
      <c r="B774" s="3">
        <v>2</v>
      </c>
      <c r="C774" s="30">
        <v>122</v>
      </c>
      <c r="D774" s="30">
        <v>166</v>
      </c>
      <c r="E774" s="30">
        <v>140</v>
      </c>
      <c r="F774" s="30">
        <f>2*78</f>
        <v>156</v>
      </c>
    </row>
    <row r="775" spans="1:6">
      <c r="A775" s="3" t="s">
        <v>1161</v>
      </c>
      <c r="B775" s="3">
        <v>2</v>
      </c>
      <c r="C775" s="30">
        <v>736</v>
      </c>
      <c r="D775" s="30">
        <v>1112</v>
      </c>
      <c r="E775" s="30">
        <v>878</v>
      </c>
      <c r="F775" s="30">
        <f>480*2</f>
        <v>960</v>
      </c>
    </row>
    <row r="776" spans="1:6">
      <c r="A776" s="800" t="s">
        <v>260</v>
      </c>
      <c r="B776" s="800"/>
      <c r="C776" s="526">
        <f t="shared" ref="C776" si="7">C772+C773+C774+C775</f>
        <v>1022</v>
      </c>
      <c r="D776" s="526">
        <f>D772+D773+D774+D775</f>
        <v>1532.8</v>
      </c>
      <c r="E776" s="526">
        <f>E772+E773+E774+E775</f>
        <v>1258</v>
      </c>
      <c r="F776" s="526">
        <f>F772+F773+F774+F775</f>
        <v>1356</v>
      </c>
    </row>
    <row r="777" spans="1:6">
      <c r="D777" s="272"/>
      <c r="E777" s="272"/>
      <c r="F777" s="272"/>
    </row>
    <row r="778" spans="1:6">
      <c r="A778" s="565" t="s">
        <v>1369</v>
      </c>
      <c r="B778" s="185" t="s">
        <v>1287</v>
      </c>
      <c r="C778" s="272">
        <v>689.6</v>
      </c>
      <c r="D778" s="272"/>
      <c r="E778" s="272"/>
      <c r="F778" s="272"/>
    </row>
    <row r="780" spans="1:6">
      <c r="A780" s="554" t="s">
        <v>1361</v>
      </c>
      <c r="B780" s="101" t="s">
        <v>1330</v>
      </c>
      <c r="C780" s="101" t="s">
        <v>1373</v>
      </c>
      <c r="D780" s="218" t="s">
        <v>295</v>
      </c>
      <c r="E780" s="101" t="s">
        <v>421</v>
      </c>
    </row>
    <row r="781" spans="1:6">
      <c r="A781" s="278" t="s">
        <v>1364</v>
      </c>
      <c r="B781" s="30">
        <v>218.06</v>
      </c>
      <c r="C781" s="30"/>
      <c r="D781" s="30">
        <v>270</v>
      </c>
      <c r="E781" s="30">
        <v>214.75</v>
      </c>
    </row>
    <row r="782" spans="1:6">
      <c r="A782" s="574" t="s">
        <v>1365</v>
      </c>
      <c r="B782" s="30">
        <v>360.7</v>
      </c>
      <c r="C782" s="30">
        <v>350</v>
      </c>
      <c r="D782" s="30">
        <v>258</v>
      </c>
      <c r="E782" s="116">
        <v>233.7</v>
      </c>
    </row>
    <row r="783" spans="1:6">
      <c r="A783" s="574" t="s">
        <v>1366</v>
      </c>
      <c r="B783" s="30">
        <v>121.15</v>
      </c>
      <c r="C783" s="30"/>
      <c r="D783" s="30"/>
      <c r="E783" s="30">
        <v>62.5</v>
      </c>
    </row>
    <row r="784" spans="1:6">
      <c r="A784" s="574" t="s">
        <v>1367</v>
      </c>
      <c r="B784" s="30">
        <v>84.13</v>
      </c>
      <c r="C784" s="30"/>
      <c r="D784" s="30">
        <v>52</v>
      </c>
      <c r="E784" s="30">
        <v>105.85</v>
      </c>
    </row>
    <row r="785" spans="1:6">
      <c r="A785" s="575" t="s">
        <v>1368</v>
      </c>
      <c r="B785" s="116">
        <v>174.02</v>
      </c>
      <c r="C785" s="338">
        <v>200</v>
      </c>
      <c r="D785" s="338">
        <v>173</v>
      </c>
      <c r="E785" s="116">
        <v>94.45</v>
      </c>
    </row>
    <row r="786" spans="1:6">
      <c r="A786" s="575" t="s">
        <v>1415</v>
      </c>
      <c r="B786" s="116">
        <v>72.239999999999995</v>
      </c>
      <c r="C786" s="338"/>
      <c r="D786" s="338"/>
      <c r="E786" s="16"/>
    </row>
    <row r="787" spans="1:6">
      <c r="A787" s="576" t="s">
        <v>1410</v>
      </c>
      <c r="B787" s="577"/>
      <c r="C787" s="577"/>
      <c r="D787" s="577"/>
      <c r="E787" s="578"/>
    </row>
    <row r="788" spans="1:6">
      <c r="A788" s="120" t="s">
        <v>260</v>
      </c>
      <c r="B788" s="311">
        <f>B781+B782+B783+B784+B785+B786</f>
        <v>1030.3</v>
      </c>
      <c r="C788" s="309">
        <v>904</v>
      </c>
      <c r="D788" s="311">
        <f>D781+D782+D783+D784+D785</f>
        <v>753</v>
      </c>
      <c r="E788" s="16"/>
      <c r="F788" s="215"/>
    </row>
    <row r="789" spans="1:6">
      <c r="A789" s="286"/>
    </row>
    <row r="790" spans="1:6">
      <c r="A790" s="554" t="s">
        <v>1362</v>
      </c>
      <c r="B790" s="101" t="s">
        <v>625</v>
      </c>
    </row>
    <row r="791" spans="1:6">
      <c r="A791" s="278" t="s">
        <v>1372</v>
      </c>
      <c r="B791" s="30">
        <v>725</v>
      </c>
    </row>
    <row r="793" spans="1:6" ht="15" thickBot="1">
      <c r="A793" s="72"/>
      <c r="B793" s="286"/>
      <c r="C793" s="780"/>
      <c r="D793" s="780"/>
    </row>
    <row r="794" spans="1:6" ht="15" thickBot="1">
      <c r="A794" s="547" t="s">
        <v>1524</v>
      </c>
      <c r="B794" s="548" t="s">
        <v>1072</v>
      </c>
      <c r="C794" s="809" t="s">
        <v>1328</v>
      </c>
      <c r="D794" s="810"/>
    </row>
    <row r="795" spans="1:6">
      <c r="A795" s="544" t="s">
        <v>319</v>
      </c>
      <c r="B795" s="545" t="s">
        <v>33</v>
      </c>
      <c r="C795" s="545" t="s">
        <v>1329</v>
      </c>
      <c r="D795" s="546" t="s">
        <v>1136</v>
      </c>
    </row>
    <row r="796" spans="1:6">
      <c r="A796" s="94" t="s">
        <v>334</v>
      </c>
      <c r="B796" s="100" t="s">
        <v>335</v>
      </c>
      <c r="C796" s="30">
        <v>8.6999999999999993</v>
      </c>
      <c r="D796" s="35">
        <v>8.6</v>
      </c>
    </row>
    <row r="797" spans="1:6" ht="15" thickBot="1">
      <c r="A797" s="95" t="s">
        <v>1073</v>
      </c>
      <c r="B797" s="153" t="s">
        <v>323</v>
      </c>
      <c r="C797" s="41">
        <v>7.98</v>
      </c>
      <c r="D797" s="37">
        <v>7.9</v>
      </c>
      <c r="E797" t="s">
        <v>1374</v>
      </c>
    </row>
    <row r="799" spans="1:6">
      <c r="A799" s="218" t="s">
        <v>1370</v>
      </c>
      <c r="B799" s="101" t="s">
        <v>1371</v>
      </c>
    </row>
    <row r="800" spans="1:6">
      <c r="A800" s="84" t="s">
        <v>1375</v>
      </c>
      <c r="B800" s="30">
        <f>322.12*5</f>
        <v>1610.6</v>
      </c>
      <c r="C800" t="s">
        <v>1376</v>
      </c>
    </row>
    <row r="802" spans="1:8">
      <c r="A802" s="218" t="s">
        <v>1435</v>
      </c>
      <c r="B802" s="101" t="s">
        <v>1377</v>
      </c>
      <c r="C802" s="218" t="s">
        <v>720</v>
      </c>
      <c r="D802" s="81" t="s">
        <v>1436</v>
      </c>
    </row>
    <row r="803" spans="1:8">
      <c r="A803" s="16" t="s">
        <v>1437</v>
      </c>
      <c r="B803" s="30">
        <v>1682.78</v>
      </c>
      <c r="C803" s="30">
        <v>1712</v>
      </c>
      <c r="D803" s="30">
        <v>1790</v>
      </c>
      <c r="F803" s="583" t="s">
        <v>1391</v>
      </c>
      <c r="G803" s="583" t="s">
        <v>411</v>
      </c>
      <c r="H803" s="584" t="s">
        <v>238</v>
      </c>
    </row>
    <row r="804" spans="1:8">
      <c r="F804" s="583"/>
      <c r="G804" s="583"/>
      <c r="H804" s="584"/>
    </row>
    <row r="805" spans="1:8">
      <c r="A805" s="812" t="s">
        <v>1378</v>
      </c>
      <c r="B805" s="812"/>
      <c r="C805" s="812"/>
      <c r="D805" s="812"/>
      <c r="F805" s="330" t="s">
        <v>1392</v>
      </c>
      <c r="G805" s="569">
        <v>65</v>
      </c>
      <c r="H805" s="30">
        <v>980</v>
      </c>
    </row>
    <row r="806" spans="1:8">
      <c r="A806" s="218" t="s">
        <v>1380</v>
      </c>
      <c r="B806" s="101" t="s">
        <v>411</v>
      </c>
      <c r="C806" s="101" t="s">
        <v>169</v>
      </c>
      <c r="D806" s="101" t="s">
        <v>161</v>
      </c>
      <c r="F806" s="330" t="s">
        <v>1392</v>
      </c>
      <c r="G806" s="569">
        <v>215</v>
      </c>
      <c r="H806" s="30">
        <v>3080</v>
      </c>
    </row>
    <row r="807" spans="1:8">
      <c r="A807" s="218" t="s">
        <v>1382</v>
      </c>
      <c r="B807" s="3">
        <v>2</v>
      </c>
      <c r="C807" s="30">
        <v>186.8</v>
      </c>
      <c r="D807" s="30">
        <v>265.08</v>
      </c>
      <c r="H807" s="580">
        <f>H805+H806</f>
        <v>4060</v>
      </c>
    </row>
    <row r="808" spans="1:8">
      <c r="A808" s="218" t="s">
        <v>1381</v>
      </c>
      <c r="B808" s="3">
        <v>12</v>
      </c>
      <c r="C808" s="30">
        <v>65.040000000000006</v>
      </c>
      <c r="D808" s="30">
        <v>76.92</v>
      </c>
    </row>
    <row r="809" spans="1:8">
      <c r="A809" s="811" t="s">
        <v>260</v>
      </c>
      <c r="B809" s="811"/>
      <c r="C809" s="30">
        <f>C807+C808</f>
        <v>251.84000000000003</v>
      </c>
      <c r="D809" s="30">
        <f>D807+D808</f>
        <v>342</v>
      </c>
      <c r="F809" s="218" t="s">
        <v>1189</v>
      </c>
      <c r="G809" s="3">
        <v>15</v>
      </c>
      <c r="H809" s="30">
        <v>323.7</v>
      </c>
    </row>
    <row r="810" spans="1:8">
      <c r="F810" s="218" t="s">
        <v>1190</v>
      </c>
      <c r="G810" s="3">
        <v>3</v>
      </c>
      <c r="H810" s="30">
        <v>112.02</v>
      </c>
    </row>
    <row r="811" spans="1:8">
      <c r="A811" s="218" t="s">
        <v>1379</v>
      </c>
      <c r="B811" s="101" t="s">
        <v>411</v>
      </c>
      <c r="C811" s="101" t="s">
        <v>1195</v>
      </c>
      <c r="F811" s="218" t="s">
        <v>1383</v>
      </c>
      <c r="G811" s="3">
        <v>15</v>
      </c>
      <c r="H811" s="30">
        <v>273</v>
      </c>
    </row>
    <row r="812" spans="1:8">
      <c r="A812" s="218" t="s">
        <v>1189</v>
      </c>
      <c r="B812" s="3">
        <v>15</v>
      </c>
      <c r="C812" s="30">
        <v>323.7</v>
      </c>
      <c r="F812" s="218" t="s">
        <v>1384</v>
      </c>
      <c r="G812" s="3">
        <v>4</v>
      </c>
      <c r="H812" s="30">
        <v>504</v>
      </c>
    </row>
    <row r="813" spans="1:8">
      <c r="A813" s="218" t="s">
        <v>1190</v>
      </c>
      <c r="B813" s="3">
        <v>3</v>
      </c>
      <c r="C813" s="30">
        <v>112.02</v>
      </c>
      <c r="F813" s="218" t="s">
        <v>1385</v>
      </c>
      <c r="G813" s="3">
        <v>6</v>
      </c>
      <c r="H813" s="30">
        <v>87</v>
      </c>
    </row>
    <row r="814" spans="1:8">
      <c r="A814" s="218" t="s">
        <v>1383</v>
      </c>
      <c r="B814" s="3">
        <v>15</v>
      </c>
      <c r="C814" s="30">
        <v>273</v>
      </c>
      <c r="F814" s="218" t="s">
        <v>1394</v>
      </c>
      <c r="G814" s="3">
        <v>56</v>
      </c>
      <c r="H814" s="30">
        <v>1426.88</v>
      </c>
    </row>
    <row r="815" spans="1:8">
      <c r="A815" s="218" t="s">
        <v>1384</v>
      </c>
      <c r="B815" s="3">
        <v>4</v>
      </c>
      <c r="C815" s="30">
        <v>504</v>
      </c>
      <c r="F815" s="776" t="s">
        <v>56</v>
      </c>
      <c r="G815" s="776"/>
      <c r="H815" s="567">
        <v>200</v>
      </c>
    </row>
    <row r="816" spans="1:8">
      <c r="A816" s="218" t="s">
        <v>1385</v>
      </c>
      <c r="B816" s="3">
        <v>6</v>
      </c>
      <c r="C816" s="30">
        <v>87</v>
      </c>
      <c r="F816" s="776" t="s">
        <v>260</v>
      </c>
      <c r="G816" s="776"/>
      <c r="H816" s="566">
        <f>H809+H810+H811+H812+H813+H814+H815</f>
        <v>2926.6000000000004</v>
      </c>
    </row>
    <row r="817" spans="1:8">
      <c r="A817" s="776" t="s">
        <v>56</v>
      </c>
      <c r="B817" s="776"/>
      <c r="C817" s="567">
        <v>200</v>
      </c>
    </row>
    <row r="818" spans="1:8">
      <c r="A818" s="776" t="s">
        <v>260</v>
      </c>
      <c r="B818" s="776"/>
      <c r="C818" s="566">
        <f>C812+C813+C814+C815+C816+C817</f>
        <v>1499.72</v>
      </c>
      <c r="G818" s="799" t="s">
        <v>238</v>
      </c>
      <c r="H818" s="895">
        <f>H816+H807</f>
        <v>6986.6</v>
      </c>
    </row>
    <row r="819" spans="1:8">
      <c r="G819" s="799"/>
      <c r="H819" s="895"/>
    </row>
    <row r="820" spans="1:8">
      <c r="A820" s="218" t="s">
        <v>402</v>
      </c>
      <c r="B820" s="101" t="s">
        <v>411</v>
      </c>
      <c r="C820" s="101" t="s">
        <v>306</v>
      </c>
    </row>
    <row r="821" spans="1:8">
      <c r="A821" s="218" t="s">
        <v>1390</v>
      </c>
      <c r="B821" s="3">
        <v>73</v>
      </c>
      <c r="C821" s="30">
        <v>1175.3</v>
      </c>
    </row>
    <row r="822" spans="1:8">
      <c r="A822" s="218" t="s">
        <v>293</v>
      </c>
      <c r="B822" s="3">
        <v>7</v>
      </c>
      <c r="C822" s="30">
        <v>189.35</v>
      </c>
    </row>
    <row r="823" spans="1:8">
      <c r="A823" s="897" t="s">
        <v>260</v>
      </c>
      <c r="B823" s="897"/>
      <c r="C823" s="568">
        <f>C821+C822</f>
        <v>1364.6499999999999</v>
      </c>
      <c r="D823" t="s">
        <v>1414</v>
      </c>
    </row>
    <row r="825" spans="1:8">
      <c r="A825" s="823" t="s">
        <v>1391</v>
      </c>
      <c r="B825" s="823" t="s">
        <v>411</v>
      </c>
      <c r="C825" s="530" t="s">
        <v>1284</v>
      </c>
      <c r="D825" s="530" t="s">
        <v>1285</v>
      </c>
      <c r="E825" s="530" t="s">
        <v>1288</v>
      </c>
      <c r="F825" s="585" t="s">
        <v>1429</v>
      </c>
    </row>
    <row r="826" spans="1:8">
      <c r="A826" s="824"/>
      <c r="B826" s="824"/>
      <c r="C826" s="530" t="s">
        <v>1291</v>
      </c>
      <c r="D826" s="530" t="s">
        <v>1290</v>
      </c>
      <c r="E826" s="530" t="s">
        <v>1289</v>
      </c>
      <c r="F826" s="585" t="s">
        <v>1430</v>
      </c>
    </row>
    <row r="827" spans="1:8">
      <c r="A827" s="330" t="s">
        <v>1392</v>
      </c>
      <c r="B827" s="3">
        <v>215</v>
      </c>
      <c r="C827" s="30">
        <v>4500</v>
      </c>
      <c r="D827" s="30">
        <v>3150</v>
      </c>
      <c r="E827" s="30">
        <v>2700</v>
      </c>
      <c r="F827" s="425">
        <f>215*7</f>
        <v>1505</v>
      </c>
    </row>
    <row r="828" spans="1:8">
      <c r="A828" s="748" t="s">
        <v>1283</v>
      </c>
      <c r="B828" s="749"/>
      <c r="C828" s="30">
        <v>150</v>
      </c>
      <c r="D828" s="30">
        <v>200</v>
      </c>
      <c r="E828" s="30">
        <v>500</v>
      </c>
      <c r="F828" s="425">
        <v>400</v>
      </c>
    </row>
    <row r="829" spans="1:8">
      <c r="F829" s="49">
        <v>1850</v>
      </c>
    </row>
    <row r="830" spans="1:8">
      <c r="A830" s="218" t="s">
        <v>1393</v>
      </c>
      <c r="B830" s="101" t="s">
        <v>411</v>
      </c>
      <c r="C830" s="585" t="s">
        <v>1431</v>
      </c>
    </row>
    <row r="831" spans="1:8">
      <c r="A831" s="218" t="s">
        <v>1394</v>
      </c>
      <c r="B831" s="100">
        <v>56</v>
      </c>
      <c r="C831" s="586"/>
    </row>
    <row r="834" spans="1:3">
      <c r="A834" s="571" t="s">
        <v>1399</v>
      </c>
      <c r="B834" s="101" t="s">
        <v>303</v>
      </c>
    </row>
    <row r="835" spans="1:3">
      <c r="A835" s="572" t="s">
        <v>1386</v>
      </c>
      <c r="B835" s="30">
        <v>20</v>
      </c>
    </row>
    <row r="836" spans="1:3">
      <c r="A836" s="572" t="s">
        <v>1387</v>
      </c>
      <c r="B836" s="30">
        <v>60</v>
      </c>
    </row>
    <row r="837" spans="1:3">
      <c r="A837" s="572" t="s">
        <v>1388</v>
      </c>
      <c r="B837" s="30">
        <v>76</v>
      </c>
    </row>
    <row r="838" spans="1:3">
      <c r="A838" s="572" t="s">
        <v>1389</v>
      </c>
      <c r="B838" s="30">
        <v>70</v>
      </c>
    </row>
    <row r="839" spans="1:3">
      <c r="A839" s="572" t="s">
        <v>1401</v>
      </c>
      <c r="B839" s="30">
        <v>233</v>
      </c>
    </row>
    <row r="840" spans="1:3">
      <c r="A840" s="570" t="s">
        <v>260</v>
      </c>
      <c r="B840" s="568">
        <f>B835+B836+B837+B838+B839</f>
        <v>459</v>
      </c>
    </row>
    <row r="842" spans="1:3">
      <c r="A842" s="218" t="s">
        <v>1525</v>
      </c>
      <c r="B842" s="101" t="s">
        <v>411</v>
      </c>
      <c r="C842" s="101" t="s">
        <v>193</v>
      </c>
    </row>
    <row r="843" spans="1:3">
      <c r="A843" s="218" t="s">
        <v>490</v>
      </c>
      <c r="B843" s="3">
        <v>10</v>
      </c>
      <c r="C843" s="30">
        <f>344.8*B843</f>
        <v>3448</v>
      </c>
    </row>
    <row r="845" spans="1:3">
      <c r="A845" s="218" t="s">
        <v>1395</v>
      </c>
      <c r="B845" s="101" t="s">
        <v>1396</v>
      </c>
      <c r="C845" s="101" t="s">
        <v>1397</v>
      </c>
    </row>
    <row r="846" spans="1:3">
      <c r="A846" s="218" t="s">
        <v>1398</v>
      </c>
      <c r="B846" s="30">
        <v>1647</v>
      </c>
      <c r="C846" s="3" t="s">
        <v>527</v>
      </c>
    </row>
    <row r="847" spans="1:3">
      <c r="A847" s="218" t="s">
        <v>1411</v>
      </c>
      <c r="B847" s="3" t="s">
        <v>527</v>
      </c>
      <c r="C847" s="30">
        <v>93.6</v>
      </c>
    </row>
    <row r="848" spans="1:3">
      <c r="A848" s="218" t="s">
        <v>1412</v>
      </c>
      <c r="B848" s="3" t="s">
        <v>527</v>
      </c>
      <c r="C848" s="30">
        <v>406.14</v>
      </c>
    </row>
    <row r="849" spans="1:3">
      <c r="A849" s="218" t="s">
        <v>1413</v>
      </c>
      <c r="B849" s="3" t="s">
        <v>527</v>
      </c>
      <c r="C849" s="30">
        <v>421.44</v>
      </c>
    </row>
    <row r="850" spans="1:3">
      <c r="A850" s="120" t="s">
        <v>260</v>
      </c>
      <c r="B850" s="573">
        <f>B846</f>
        <v>1647</v>
      </c>
      <c r="C850" s="568">
        <f>C847+C848+C849</f>
        <v>921.18000000000006</v>
      </c>
    </row>
    <row r="852" spans="1:3">
      <c r="A852" s="218" t="s">
        <v>1400</v>
      </c>
      <c r="B852" s="90" t="s">
        <v>1377</v>
      </c>
    </row>
    <row r="853" spans="1:3">
      <c r="A853" s="218" t="s">
        <v>1402</v>
      </c>
      <c r="B853" s="30">
        <v>189</v>
      </c>
    </row>
    <row r="855" spans="1:3">
      <c r="A855" s="218" t="s">
        <v>1403</v>
      </c>
      <c r="B855" s="806" t="s">
        <v>941</v>
      </c>
    </row>
    <row r="856" spans="1:3">
      <c r="A856" s="218" t="s">
        <v>1406</v>
      </c>
      <c r="B856" s="807"/>
    </row>
    <row r="857" spans="1:3">
      <c r="A857" s="218" t="s">
        <v>1404</v>
      </c>
      <c r="B857" s="16"/>
    </row>
    <row r="858" spans="1:3">
      <c r="A858" s="218" t="s">
        <v>1218</v>
      </c>
      <c r="B858" s="16"/>
    </row>
    <row r="859" spans="1:3">
      <c r="A859" s="218" t="s">
        <v>1405</v>
      </c>
      <c r="B859" s="16"/>
    </row>
    <row r="860" spans="1:3">
      <c r="A860" s="120" t="s">
        <v>238</v>
      </c>
    </row>
    <row r="862" spans="1:3">
      <c r="A862" s="218" t="s">
        <v>1444</v>
      </c>
      <c r="B862" s="806" t="s">
        <v>1407</v>
      </c>
    </row>
    <row r="863" spans="1:3">
      <c r="A863" s="218" t="s">
        <v>1408</v>
      </c>
      <c r="B863" s="807"/>
    </row>
    <row r="864" spans="1:3">
      <c r="A864" s="218" t="s">
        <v>1446</v>
      </c>
      <c r="B864" s="16">
        <v>811.72</v>
      </c>
    </row>
    <row r="865" spans="1:6">
      <c r="A865" s="218" t="s">
        <v>1447</v>
      </c>
      <c r="B865" s="16"/>
    </row>
    <row r="866" spans="1:6">
      <c r="A866" s="218" t="s">
        <v>1445</v>
      </c>
      <c r="B866" s="16"/>
    </row>
    <row r="867" spans="1:6">
      <c r="A867" s="218" t="s">
        <v>1409</v>
      </c>
      <c r="B867" s="16">
        <v>2530.87</v>
      </c>
    </row>
    <row r="868" spans="1:6">
      <c r="A868" s="120" t="s">
        <v>238</v>
      </c>
      <c r="B868" s="315">
        <v>5311.06</v>
      </c>
    </row>
    <row r="870" spans="1:6">
      <c r="A870" s="554" t="s">
        <v>1417</v>
      </c>
      <c r="B870" s="101" t="s">
        <v>411</v>
      </c>
      <c r="C870" s="218" t="s">
        <v>1418</v>
      </c>
      <c r="D870" s="218" t="s">
        <v>1420</v>
      </c>
      <c r="E870" s="218" t="s">
        <v>830</v>
      </c>
      <c r="F870" s="218" t="s">
        <v>1422</v>
      </c>
    </row>
    <row r="871" spans="1:6">
      <c r="A871" s="554" t="s">
        <v>1421</v>
      </c>
      <c r="B871" s="100" t="s">
        <v>1419</v>
      </c>
      <c r="C871" s="30">
        <v>899.85</v>
      </c>
      <c r="D871" s="30">
        <v>758.95</v>
      </c>
      <c r="E871" s="30">
        <f>5*156</f>
        <v>780</v>
      </c>
      <c r="F871" s="30">
        <f>5*210</f>
        <v>1050</v>
      </c>
    </row>
    <row r="872" spans="1:6">
      <c r="A872" s="896" t="s">
        <v>56</v>
      </c>
      <c r="B872" s="896"/>
      <c r="C872" s="30" t="s">
        <v>1199</v>
      </c>
      <c r="D872" s="30">
        <v>250</v>
      </c>
      <c r="E872" s="30">
        <v>150</v>
      </c>
      <c r="F872" s="30">
        <v>280</v>
      </c>
    </row>
    <row r="873" spans="1:6">
      <c r="A873" s="896" t="s">
        <v>238</v>
      </c>
      <c r="B873" s="896"/>
      <c r="C873" s="30">
        <f>C871</f>
        <v>899.85</v>
      </c>
      <c r="D873" s="30">
        <f>D871+D872</f>
        <v>1008.95</v>
      </c>
      <c r="E873" s="30">
        <f t="shared" ref="E873:F873" si="8">E871+E872</f>
        <v>930</v>
      </c>
      <c r="F873" s="30">
        <f t="shared" si="8"/>
        <v>1330</v>
      </c>
    </row>
    <row r="874" spans="1:6">
      <c r="B874" s="409" t="s">
        <v>1423</v>
      </c>
      <c r="C874" s="581">
        <v>179.97</v>
      </c>
      <c r="D874" s="581">
        <v>151.79</v>
      </c>
      <c r="E874" s="581">
        <v>156</v>
      </c>
      <c r="F874" s="581">
        <v>210</v>
      </c>
    </row>
    <row r="875" spans="1:6" ht="15" thickBot="1"/>
    <row r="876" spans="1:6" ht="15" thickBot="1">
      <c r="A876" s="547" t="s">
        <v>1416</v>
      </c>
      <c r="B876" s="548" t="s">
        <v>1072</v>
      </c>
      <c r="C876" s="549" t="s">
        <v>346</v>
      </c>
    </row>
    <row r="877" spans="1:6">
      <c r="A877" s="544" t="s">
        <v>319</v>
      </c>
      <c r="B877" s="545" t="s">
        <v>33</v>
      </c>
      <c r="C877" s="546" t="s">
        <v>320</v>
      </c>
      <c r="D877" s="72"/>
    </row>
    <row r="878" spans="1:6">
      <c r="A878" s="94" t="s">
        <v>1073</v>
      </c>
      <c r="B878" s="100" t="s">
        <v>323</v>
      </c>
      <c r="C878" s="35">
        <v>6.98</v>
      </c>
      <c r="D878" s="579"/>
    </row>
    <row r="879" spans="1:6">
      <c r="A879" s="94" t="s">
        <v>326</v>
      </c>
      <c r="B879" s="100" t="s">
        <v>327</v>
      </c>
      <c r="C879" s="523">
        <v>6.99</v>
      </c>
    </row>
    <row r="880" spans="1:6">
      <c r="A880" s="94" t="s">
        <v>330</v>
      </c>
      <c r="B880" s="100" t="s">
        <v>331</v>
      </c>
      <c r="C880" s="35">
        <v>6.79</v>
      </c>
    </row>
    <row r="881" spans="1:6">
      <c r="A881" s="94" t="s">
        <v>334</v>
      </c>
      <c r="B881" s="100" t="s">
        <v>335</v>
      </c>
      <c r="C881" s="35">
        <v>6.89</v>
      </c>
    </row>
    <row r="882" spans="1:6">
      <c r="A882" s="94" t="s">
        <v>693</v>
      </c>
      <c r="B882" s="100" t="s">
        <v>694</v>
      </c>
      <c r="C882" s="523"/>
    </row>
    <row r="884" spans="1:6">
      <c r="A884" s="554" t="s">
        <v>1424</v>
      </c>
      <c r="B884" s="101" t="s">
        <v>1427</v>
      </c>
      <c r="C884" s="218" t="s">
        <v>1428</v>
      </c>
      <c r="E884" s="554" t="s">
        <v>1424</v>
      </c>
      <c r="F884" s="218" t="s">
        <v>1428</v>
      </c>
    </row>
    <row r="885" spans="1:6">
      <c r="A885" s="554" t="s">
        <v>1425</v>
      </c>
      <c r="B885" s="30">
        <v>23.04</v>
      </c>
      <c r="C885" s="30">
        <v>14</v>
      </c>
      <c r="E885" s="554" t="s">
        <v>1425</v>
      </c>
      <c r="F885" s="30">
        <v>14</v>
      </c>
    </row>
    <row r="886" spans="1:6">
      <c r="A886" s="554" t="s">
        <v>1327</v>
      </c>
      <c r="B886" s="30">
        <v>23.04</v>
      </c>
      <c r="C886" s="30">
        <v>17</v>
      </c>
      <c r="E886" s="554" t="s">
        <v>1327</v>
      </c>
      <c r="F886" s="30">
        <v>17</v>
      </c>
    </row>
    <row r="887" spans="1:6">
      <c r="A887" s="554" t="s">
        <v>1426</v>
      </c>
      <c r="B887" s="30">
        <f>18.9*4</f>
        <v>75.599999999999994</v>
      </c>
      <c r="C887" s="30">
        <f>4*28</f>
        <v>112</v>
      </c>
      <c r="E887" s="554" t="s">
        <v>1426</v>
      </c>
      <c r="F887" s="30">
        <f>4*28</f>
        <v>112</v>
      </c>
    </row>
    <row r="888" spans="1:6">
      <c r="A888" s="308" t="s">
        <v>238</v>
      </c>
      <c r="B888" s="582">
        <f>B885+B887+B886</f>
        <v>121.67999999999998</v>
      </c>
      <c r="C888" s="582">
        <f>C885+C887+C886</f>
        <v>143</v>
      </c>
      <c r="E888" s="308" t="s">
        <v>238</v>
      </c>
      <c r="F888" s="582">
        <f>F885+F887+F886</f>
        <v>143</v>
      </c>
    </row>
    <row r="890" spans="1:6">
      <c r="A890" s="554" t="s">
        <v>1432</v>
      </c>
      <c r="B890" s="101" t="s">
        <v>411</v>
      </c>
      <c r="C890" s="81" t="s">
        <v>421</v>
      </c>
    </row>
    <row r="891" spans="1:6">
      <c r="A891" s="587">
        <v>2902288</v>
      </c>
      <c r="B891" s="3">
        <v>3</v>
      </c>
      <c r="C891" s="30">
        <f>179*3</f>
        <v>537</v>
      </c>
    </row>
    <row r="892" spans="1:6">
      <c r="A892" s="587" t="s">
        <v>1433</v>
      </c>
      <c r="B892" s="3">
        <v>1</v>
      </c>
      <c r="C892" s="30"/>
    </row>
    <row r="893" spans="1:6">
      <c r="A893" s="587" t="s">
        <v>1434</v>
      </c>
      <c r="B893" s="3">
        <v>1</v>
      </c>
      <c r="C893" s="30"/>
    </row>
    <row r="895" spans="1:6">
      <c r="A895" s="554" t="s">
        <v>1452</v>
      </c>
      <c r="B895" s="539" t="s">
        <v>1442</v>
      </c>
      <c r="C895" s="101" t="s">
        <v>1443</v>
      </c>
      <c r="D895" s="101" t="s">
        <v>295</v>
      </c>
    </row>
    <row r="896" spans="1:6">
      <c r="A896" s="554" t="s">
        <v>1439</v>
      </c>
      <c r="B896" s="425">
        <v>105</v>
      </c>
      <c r="C896" s="30">
        <v>68</v>
      </c>
      <c r="D896" s="30">
        <v>69</v>
      </c>
    </row>
    <row r="897" spans="1:6">
      <c r="A897" s="554" t="s">
        <v>1438</v>
      </c>
      <c r="B897" s="425">
        <v>115</v>
      </c>
      <c r="C897" s="30">
        <v>84.45</v>
      </c>
      <c r="D897" s="30">
        <v>71</v>
      </c>
    </row>
    <row r="898" spans="1:6">
      <c r="A898" s="554" t="s">
        <v>1440</v>
      </c>
      <c r="B898" s="425">
        <v>30</v>
      </c>
      <c r="C898" s="30">
        <v>13.5</v>
      </c>
      <c r="D898" s="30">
        <v>24</v>
      </c>
    </row>
    <row r="899" spans="1:6">
      <c r="A899" s="554" t="s">
        <v>1441</v>
      </c>
      <c r="B899" s="425">
        <v>75</v>
      </c>
      <c r="C899" s="30">
        <v>13.5</v>
      </c>
      <c r="D899" s="30"/>
    </row>
    <row r="900" spans="1:6">
      <c r="A900" s="120" t="s">
        <v>238</v>
      </c>
      <c r="B900" s="404">
        <f>B896+B897+B898+B899</f>
        <v>325</v>
      </c>
      <c r="C900" s="404">
        <f t="shared" ref="C900:D900" si="9">C896+C897+C898+C899</f>
        <v>179.45</v>
      </c>
      <c r="D900" s="404">
        <f t="shared" si="9"/>
        <v>164</v>
      </c>
    </row>
    <row r="902" spans="1:6">
      <c r="A902" s="588" t="s">
        <v>1510</v>
      </c>
      <c r="B902" s="101" t="s">
        <v>411</v>
      </c>
      <c r="C902" s="101" t="s">
        <v>1507</v>
      </c>
      <c r="D902" s="101" t="s">
        <v>1448</v>
      </c>
      <c r="E902" s="101" t="s">
        <v>1506</v>
      </c>
      <c r="F902" s="101" t="s">
        <v>1449</v>
      </c>
    </row>
    <row r="903" spans="1:6">
      <c r="A903" s="554" t="s">
        <v>1483</v>
      </c>
      <c r="B903" s="3">
        <v>26</v>
      </c>
      <c r="C903" s="468">
        <v>4394</v>
      </c>
      <c r="D903" s="49"/>
      <c r="E903" s="30">
        <v>4050</v>
      </c>
      <c r="F903" s="30"/>
    </row>
    <row r="904" spans="1:6">
      <c r="A904" s="554" t="s">
        <v>1484</v>
      </c>
      <c r="B904" s="3">
        <v>2</v>
      </c>
      <c r="C904" s="468">
        <v>3790</v>
      </c>
      <c r="D904" s="30"/>
      <c r="E904" s="115" t="s">
        <v>226</v>
      </c>
      <c r="F904" s="30"/>
    </row>
    <row r="905" spans="1:6">
      <c r="A905" s="554" t="s">
        <v>1485</v>
      </c>
      <c r="B905" s="3">
        <v>18</v>
      </c>
      <c r="C905" s="468">
        <v>3060</v>
      </c>
      <c r="D905" s="30"/>
      <c r="E905" s="30">
        <v>3100</v>
      </c>
      <c r="F905" s="30"/>
    </row>
    <row r="906" spans="1:6">
      <c r="A906" s="554" t="s">
        <v>1486</v>
      </c>
      <c r="B906" s="3">
        <v>28</v>
      </c>
      <c r="C906" s="468">
        <v>361.2</v>
      </c>
      <c r="D906" s="30"/>
      <c r="E906" s="115" t="s">
        <v>226</v>
      </c>
      <c r="F906" s="30"/>
    </row>
    <row r="907" spans="1:6">
      <c r="A907" s="120" t="s">
        <v>1487</v>
      </c>
      <c r="B907" s="3">
        <v>6</v>
      </c>
      <c r="C907" s="352">
        <v>1170</v>
      </c>
      <c r="D907" s="30"/>
      <c r="E907" s="30">
        <v>1500</v>
      </c>
      <c r="F907" s="30"/>
    </row>
    <row r="908" spans="1:6">
      <c r="A908" s="218" t="s">
        <v>1488</v>
      </c>
      <c r="B908" s="3">
        <v>4</v>
      </c>
      <c r="C908" s="352">
        <v>89.2</v>
      </c>
      <c r="D908" s="30"/>
      <c r="E908" s="115" t="s">
        <v>226</v>
      </c>
      <c r="F908" s="30"/>
    </row>
    <row r="909" spans="1:6">
      <c r="A909" s="218" t="s">
        <v>1489</v>
      </c>
      <c r="B909" s="3">
        <v>10</v>
      </c>
      <c r="C909" s="352">
        <v>129</v>
      </c>
      <c r="D909" s="30"/>
      <c r="E909" s="115" t="s">
        <v>226</v>
      </c>
      <c r="F909" s="30"/>
    </row>
    <row r="910" spans="1:6">
      <c r="A910" s="218" t="s">
        <v>1490</v>
      </c>
      <c r="B910" s="3">
        <v>4</v>
      </c>
      <c r="C910" s="352">
        <v>51.6</v>
      </c>
      <c r="D910" s="30"/>
      <c r="E910" s="115" t="s">
        <v>226</v>
      </c>
      <c r="F910" s="30"/>
    </row>
    <row r="911" spans="1:6">
      <c r="A911" s="218" t="s">
        <v>1491</v>
      </c>
      <c r="B911" s="3">
        <v>2</v>
      </c>
      <c r="C911" s="352">
        <v>25.8</v>
      </c>
      <c r="D911" s="30"/>
      <c r="E911" s="115" t="s">
        <v>226</v>
      </c>
      <c r="F911" s="30"/>
    </row>
    <row r="912" spans="1:6">
      <c r="A912" s="218" t="s">
        <v>1492</v>
      </c>
      <c r="B912" s="3">
        <v>1</v>
      </c>
      <c r="C912" s="352">
        <v>12.9</v>
      </c>
      <c r="D912" s="30"/>
      <c r="E912" s="115" t="s">
        <v>226</v>
      </c>
      <c r="F912" s="30"/>
    </row>
    <row r="913" spans="1:6">
      <c r="A913" s="218" t="s">
        <v>1493</v>
      </c>
      <c r="B913" s="3">
        <v>4</v>
      </c>
      <c r="C913" s="352">
        <v>39.6</v>
      </c>
      <c r="D913" s="30"/>
      <c r="E913" s="30">
        <v>40</v>
      </c>
      <c r="F913" s="30"/>
    </row>
    <row r="914" spans="1:6">
      <c r="A914" s="218" t="s">
        <v>1494</v>
      </c>
      <c r="B914" s="3">
        <v>1</v>
      </c>
      <c r="C914" s="352">
        <v>9.9</v>
      </c>
      <c r="D914" s="30"/>
      <c r="E914" s="30">
        <v>10</v>
      </c>
      <c r="F914" s="30"/>
    </row>
    <row r="915" spans="1:6">
      <c r="A915" s="218" t="s">
        <v>1495</v>
      </c>
      <c r="B915" s="3">
        <v>1</v>
      </c>
      <c r="C915" s="352">
        <v>59</v>
      </c>
      <c r="D915" s="30"/>
      <c r="E915" s="115" t="s">
        <v>226</v>
      </c>
      <c r="F915" s="30"/>
    </row>
    <row r="916" spans="1:6">
      <c r="A916" s="218" t="s">
        <v>1496</v>
      </c>
      <c r="B916" s="3">
        <v>1</v>
      </c>
      <c r="C916" s="352">
        <v>14.8</v>
      </c>
      <c r="D916" s="30"/>
      <c r="E916" s="115" t="s">
        <v>226</v>
      </c>
      <c r="F916" s="30"/>
    </row>
    <row r="917" spans="1:6">
      <c r="A917" s="218" t="s">
        <v>1497</v>
      </c>
      <c r="B917" s="3">
        <v>2</v>
      </c>
      <c r="C917" s="352">
        <v>25.2</v>
      </c>
      <c r="D917" s="30"/>
      <c r="E917" s="30">
        <v>20</v>
      </c>
      <c r="F917" s="30"/>
    </row>
    <row r="918" spans="1:6">
      <c r="A918" s="218" t="s">
        <v>1498</v>
      </c>
      <c r="B918" s="3">
        <v>2</v>
      </c>
      <c r="C918" s="352">
        <v>25.2</v>
      </c>
      <c r="D918" s="30"/>
      <c r="E918" s="30">
        <v>20</v>
      </c>
      <c r="F918" s="30"/>
    </row>
    <row r="919" spans="1:6">
      <c r="A919" s="218" t="s">
        <v>1499</v>
      </c>
      <c r="B919" s="3">
        <v>2</v>
      </c>
      <c r="C919" s="352">
        <v>24</v>
      </c>
      <c r="D919" s="30"/>
      <c r="E919" s="30">
        <v>20</v>
      </c>
      <c r="F919" s="30"/>
    </row>
    <row r="920" spans="1:6">
      <c r="A920" s="218" t="s">
        <v>1500</v>
      </c>
      <c r="B920" s="3">
        <v>10</v>
      </c>
      <c r="C920" s="115" t="s">
        <v>226</v>
      </c>
      <c r="D920" s="30"/>
      <c r="E920" s="30">
        <v>290</v>
      </c>
      <c r="F920" s="30"/>
    </row>
    <row r="921" spans="1:6">
      <c r="A921" s="218" t="s">
        <v>1508</v>
      </c>
      <c r="B921" s="3">
        <v>5</v>
      </c>
      <c r="C921" s="115" t="s">
        <v>226</v>
      </c>
      <c r="D921" s="30"/>
      <c r="E921" s="30">
        <v>125</v>
      </c>
      <c r="F921" s="16"/>
    </row>
    <row r="922" spans="1:6">
      <c r="A922" s="218" t="s">
        <v>1501</v>
      </c>
      <c r="B922" s="3">
        <v>2</v>
      </c>
      <c r="C922" s="100" t="s">
        <v>226</v>
      </c>
      <c r="D922" s="16"/>
      <c r="E922" s="30">
        <v>5400</v>
      </c>
      <c r="F922" s="16"/>
    </row>
    <row r="923" spans="1:6">
      <c r="A923" s="218" t="s">
        <v>1509</v>
      </c>
      <c r="B923" s="3">
        <v>6</v>
      </c>
      <c r="C923" s="114" t="s">
        <v>226</v>
      </c>
      <c r="D923" s="16"/>
      <c r="E923" s="116">
        <v>600</v>
      </c>
      <c r="F923" s="16"/>
    </row>
    <row r="924" spans="1:6">
      <c r="A924" s="218" t="s">
        <v>1502</v>
      </c>
      <c r="B924" s="3">
        <v>1</v>
      </c>
      <c r="C924" s="114" t="s">
        <v>226</v>
      </c>
      <c r="D924" s="16"/>
      <c r="E924" s="116">
        <v>70</v>
      </c>
      <c r="F924" s="16"/>
    </row>
    <row r="925" spans="1:6">
      <c r="A925" s="218" t="s">
        <v>1503</v>
      </c>
      <c r="B925" s="3">
        <v>1</v>
      </c>
      <c r="C925" s="114" t="s">
        <v>226</v>
      </c>
      <c r="D925" s="16"/>
      <c r="E925" s="116">
        <v>15</v>
      </c>
      <c r="F925" s="16"/>
    </row>
    <row r="926" spans="1:6">
      <c r="A926" s="218" t="s">
        <v>1504</v>
      </c>
      <c r="B926" s="3">
        <v>8</v>
      </c>
      <c r="C926" s="114" t="s">
        <v>226</v>
      </c>
      <c r="D926" s="16"/>
      <c r="E926" s="116">
        <v>80</v>
      </c>
      <c r="F926" s="16"/>
    </row>
    <row r="927" spans="1:6">
      <c r="A927" s="218" t="s">
        <v>1505</v>
      </c>
      <c r="B927" s="3">
        <v>6</v>
      </c>
      <c r="C927" s="114" t="s">
        <v>226</v>
      </c>
      <c r="D927" s="16"/>
      <c r="E927" s="116">
        <v>60</v>
      </c>
      <c r="F927" s="16"/>
    </row>
    <row r="928" spans="1:6">
      <c r="A928" s="596" t="s">
        <v>1505</v>
      </c>
      <c r="B928" s="399">
        <v>1</v>
      </c>
      <c r="C928" s="597" t="s">
        <v>226</v>
      </c>
      <c r="D928" s="598"/>
      <c r="E928" s="595">
        <v>10</v>
      </c>
      <c r="F928" s="16"/>
    </row>
    <row r="929" spans="1:6">
      <c r="A929" s="879" t="s">
        <v>238</v>
      </c>
      <c r="B929" s="879"/>
      <c r="C929" s="219">
        <f>C903+C904+C905+C906+C907+C908+C909+C910+C911+C912+C913+C914+C915+C916+C917+C918+C919</f>
        <v>13281.400000000001</v>
      </c>
      <c r="D929" s="16"/>
      <c r="E929" s="219">
        <f>E903+E905+E913+E907+E914+E917+E918+E919+E920+E921+E922+E923+E924+E925+E926+E927+E928</f>
        <v>15410</v>
      </c>
      <c r="F929" s="16"/>
    </row>
    <row r="931" spans="1:6">
      <c r="A931" s="554" t="s">
        <v>1450</v>
      </c>
      <c r="B931" s="101" t="s">
        <v>421</v>
      </c>
    </row>
    <row r="932" spans="1:6">
      <c r="A932" s="554" t="s">
        <v>1456</v>
      </c>
      <c r="B932" s="30">
        <v>79</v>
      </c>
    </row>
    <row r="933" spans="1:6">
      <c r="A933" s="554" t="s">
        <v>1457</v>
      </c>
      <c r="B933" s="30">
        <v>42</v>
      </c>
    </row>
    <row r="934" spans="1:6">
      <c r="A934" s="120" t="s">
        <v>238</v>
      </c>
      <c r="B934" s="404">
        <f>B932+B933</f>
        <v>121</v>
      </c>
    </row>
    <row r="936" spans="1:6">
      <c r="A936" s="554" t="s">
        <v>1451</v>
      </c>
      <c r="B936" s="101" t="s">
        <v>421</v>
      </c>
    </row>
    <row r="937" spans="1:6">
      <c r="A937" s="554" t="s">
        <v>1453</v>
      </c>
      <c r="B937" s="30">
        <v>95</v>
      </c>
    </row>
    <row r="938" spans="1:6">
      <c r="A938" s="554" t="s">
        <v>1454</v>
      </c>
      <c r="B938" s="30">
        <v>112</v>
      </c>
    </row>
    <row r="939" spans="1:6">
      <c r="A939" s="554" t="s">
        <v>1455</v>
      </c>
      <c r="B939" s="30">
        <v>107</v>
      </c>
    </row>
    <row r="940" spans="1:6">
      <c r="A940" s="120" t="s">
        <v>238</v>
      </c>
      <c r="B940" s="346">
        <f>B937+B938+B939</f>
        <v>314</v>
      </c>
    </row>
    <row r="941" spans="1:6">
      <c r="A941" s="270"/>
      <c r="B941" s="267"/>
    </row>
    <row r="942" spans="1:6">
      <c r="A942" s="588" t="s">
        <v>1466</v>
      </c>
      <c r="B942" s="590" t="s">
        <v>1472</v>
      </c>
      <c r="C942" s="101" t="s">
        <v>1471</v>
      </c>
      <c r="D942" s="101" t="s">
        <v>1470</v>
      </c>
    </row>
    <row r="943" spans="1:6">
      <c r="A943" s="278" t="s">
        <v>1468</v>
      </c>
      <c r="B943" s="591">
        <v>5040</v>
      </c>
      <c r="C943" s="30">
        <v>3570</v>
      </c>
      <c r="D943" s="30"/>
      <c r="F943" s="420"/>
    </row>
    <row r="944" spans="1:6">
      <c r="A944" s="278" t="s">
        <v>1473</v>
      </c>
      <c r="B944" s="592"/>
      <c r="C944" s="30">
        <v>50</v>
      </c>
      <c r="D944" s="30"/>
      <c r="F944" s="420"/>
    </row>
    <row r="945" spans="1:6">
      <c r="A945" s="278" t="s">
        <v>1469</v>
      </c>
      <c r="B945" s="593"/>
      <c r="C945" s="30">
        <v>30</v>
      </c>
      <c r="D945" s="30"/>
      <c r="F945" s="72"/>
    </row>
    <row r="946" spans="1:6">
      <c r="A946" s="270" t="s">
        <v>238</v>
      </c>
      <c r="B946" s="267">
        <f>B943</f>
        <v>5040</v>
      </c>
      <c r="C946" s="215">
        <f>C943+C944+C945</f>
        <v>3650</v>
      </c>
      <c r="D946" s="215">
        <f>D943+D944+D945</f>
        <v>0</v>
      </c>
      <c r="F946" s="72"/>
    </row>
    <row r="947" spans="1:6">
      <c r="A947" s="270"/>
      <c r="B947" s="267"/>
      <c r="F947" s="72"/>
    </row>
    <row r="948" spans="1:6">
      <c r="F948" s="72"/>
    </row>
    <row r="949" spans="1:6">
      <c r="A949" s="105" t="s">
        <v>1459</v>
      </c>
      <c r="B949" s="105" t="s">
        <v>1458</v>
      </c>
      <c r="C949" s="105" t="s">
        <v>1229</v>
      </c>
      <c r="D949" s="105" t="s">
        <v>238</v>
      </c>
      <c r="E949" s="589" t="s">
        <v>1465</v>
      </c>
    </row>
    <row r="950" spans="1:6">
      <c r="A950" s="105"/>
      <c r="B950" s="105"/>
      <c r="C950" s="105"/>
      <c r="D950" s="105"/>
      <c r="E950" s="589"/>
    </row>
    <row r="951" spans="1:6">
      <c r="A951" s="539" t="s">
        <v>1232</v>
      </c>
      <c r="B951" s="280"/>
      <c r="C951" s="280"/>
      <c r="D951" s="311"/>
      <c r="E951" s="586"/>
    </row>
    <row r="952" spans="1:6">
      <c r="A952" s="539" t="s">
        <v>1463</v>
      </c>
      <c r="B952" s="538">
        <v>490</v>
      </c>
      <c r="C952" s="538">
        <v>1000</v>
      </c>
      <c r="D952" s="311"/>
      <c r="E952" s="586" t="s">
        <v>1464</v>
      </c>
    </row>
    <row r="953" spans="1:6">
      <c r="A953" s="539" t="s">
        <v>1234</v>
      </c>
      <c r="B953" s="315">
        <v>525</v>
      </c>
      <c r="C953" s="315">
        <v>1100</v>
      </c>
      <c r="D953" s="311"/>
      <c r="E953" s="586"/>
    </row>
    <row r="954" spans="1:6">
      <c r="A954" s="539" t="s">
        <v>1235</v>
      </c>
      <c r="B954" s="315"/>
      <c r="C954" s="315"/>
      <c r="D954" s="311"/>
      <c r="E954" s="586"/>
    </row>
    <row r="956" spans="1:6">
      <c r="A956" s="555" t="s">
        <v>1460</v>
      </c>
      <c r="B956" s="101" t="s">
        <v>1462</v>
      </c>
      <c r="C956" s="101" t="s">
        <v>1467</v>
      </c>
      <c r="D956" s="101"/>
    </row>
    <row r="957" spans="1:6">
      <c r="A957" s="554" t="s">
        <v>1461</v>
      </c>
      <c r="B957" s="30">
        <v>2200</v>
      </c>
      <c r="C957" s="30"/>
      <c r="D957" s="30"/>
    </row>
    <row r="959" spans="1:6">
      <c r="A959" s="218" t="s">
        <v>1474</v>
      </c>
      <c r="B959" s="218" t="s">
        <v>1475</v>
      </c>
      <c r="C959" s="101" t="s">
        <v>1477</v>
      </c>
    </row>
    <row r="960" spans="1:6">
      <c r="A960" s="554" t="s">
        <v>1476</v>
      </c>
      <c r="B960" s="30">
        <v>252</v>
      </c>
      <c r="C960" s="16" t="s">
        <v>1478</v>
      </c>
    </row>
    <row r="961" spans="1:7">
      <c r="A961" s="554" t="s">
        <v>881</v>
      </c>
      <c r="B961" s="30">
        <v>197.99</v>
      </c>
      <c r="C961" s="16" t="s">
        <v>1479</v>
      </c>
    </row>
    <row r="962" spans="1:7">
      <c r="A962" s="554" t="s">
        <v>1480</v>
      </c>
      <c r="B962" s="30">
        <f>60*4.19</f>
        <v>251.40000000000003</v>
      </c>
      <c r="C962" s="16" t="s">
        <v>1481</v>
      </c>
    </row>
    <row r="963" spans="1:7">
      <c r="A963" s="286"/>
      <c r="B963" s="48"/>
    </row>
    <row r="964" spans="1:7" ht="15.6">
      <c r="A964" s="349" t="s">
        <v>1521</v>
      </c>
      <c r="B964" s="349" t="s">
        <v>221</v>
      </c>
      <c r="C964" s="599" t="s">
        <v>638</v>
      </c>
      <c r="D964" s="599" t="s">
        <v>941</v>
      </c>
      <c r="E964" s="293" t="s">
        <v>295</v>
      </c>
      <c r="F964" s="293" t="s">
        <v>420</v>
      </c>
      <c r="G964" s="293" t="s">
        <v>421</v>
      </c>
    </row>
    <row r="965" spans="1:7">
      <c r="A965" s="84" t="s">
        <v>770</v>
      </c>
      <c r="B965" s="3">
        <v>1</v>
      </c>
      <c r="C965" s="352">
        <v>1483.46</v>
      </c>
      <c r="D965" s="115" t="s">
        <v>527</v>
      </c>
      <c r="E965" s="115" t="s">
        <v>527</v>
      </c>
      <c r="F965" s="30">
        <v>294</v>
      </c>
      <c r="G965" s="30">
        <v>244.1</v>
      </c>
    </row>
    <row r="966" spans="1:7">
      <c r="A966" s="84" t="s">
        <v>771</v>
      </c>
      <c r="B966" s="3">
        <v>1</v>
      </c>
      <c r="C966" s="352">
        <v>678.71</v>
      </c>
      <c r="D966" s="115" t="s">
        <v>527</v>
      </c>
      <c r="E966" s="115" t="s">
        <v>527</v>
      </c>
      <c r="F966" s="30">
        <v>73.7</v>
      </c>
      <c r="G966" s="115">
        <v>315</v>
      </c>
    </row>
    <row r="967" spans="1:7">
      <c r="A967" s="600" t="s">
        <v>1518</v>
      </c>
      <c r="B967" s="3">
        <v>1</v>
      </c>
      <c r="C967" s="115" t="s">
        <v>527</v>
      </c>
      <c r="D967" s="115">
        <v>580.87</v>
      </c>
      <c r="E967" s="115" t="s">
        <v>527</v>
      </c>
      <c r="F967" s="30">
        <v>110</v>
      </c>
      <c r="G967" s="115">
        <v>127.4</v>
      </c>
    </row>
    <row r="968" spans="1:7">
      <c r="A968" s="600" t="s">
        <v>1519</v>
      </c>
      <c r="B968" s="3">
        <v>1</v>
      </c>
      <c r="C968" s="115" t="s">
        <v>527</v>
      </c>
      <c r="D968" s="115">
        <v>525.41</v>
      </c>
      <c r="E968" s="30">
        <v>150</v>
      </c>
      <c r="F968" s="30">
        <v>130</v>
      </c>
      <c r="G968" s="115">
        <v>154.44999999999999</v>
      </c>
    </row>
    <row r="969" spans="1:7">
      <c r="A969" s="84" t="s">
        <v>1517</v>
      </c>
      <c r="B969" s="3">
        <v>1</v>
      </c>
      <c r="C969" s="115" t="s">
        <v>527</v>
      </c>
      <c r="D969" s="115">
        <v>2485.63</v>
      </c>
      <c r="E969" s="115" t="s">
        <v>527</v>
      </c>
      <c r="F969" s="30">
        <v>319</v>
      </c>
      <c r="G969" s="115">
        <v>230</v>
      </c>
    </row>
    <row r="970" spans="1:7">
      <c r="A970" s="84" t="s">
        <v>1520</v>
      </c>
      <c r="B970" s="3">
        <v>1</v>
      </c>
      <c r="C970" s="115" t="s">
        <v>527</v>
      </c>
      <c r="D970" s="115">
        <v>1825.61</v>
      </c>
      <c r="E970" s="115" t="s">
        <v>527</v>
      </c>
      <c r="F970" s="30">
        <v>98</v>
      </c>
      <c r="G970" s="115">
        <v>178.65</v>
      </c>
    </row>
    <row r="971" spans="1:7">
      <c r="A971" s="804" t="s">
        <v>260</v>
      </c>
      <c r="B971" s="804"/>
      <c r="C971" s="601">
        <f>C965+C966</f>
        <v>2162.17</v>
      </c>
      <c r="D971" s="601">
        <f>D967+D968+D969+D970</f>
        <v>5417.5199999999995</v>
      </c>
      <c r="E971" s="346">
        <f>E968</f>
        <v>150</v>
      </c>
      <c r="F971" s="346">
        <f>F965+F966+F967+F968+F969+F970</f>
        <v>1024.7</v>
      </c>
      <c r="G971" s="346">
        <f>G965+G966+G967+G968+G969+G970</f>
        <v>1249.6000000000001</v>
      </c>
    </row>
    <row r="972" spans="1:7">
      <c r="A972" s="270"/>
      <c r="B972" s="270"/>
      <c r="C972" s="602"/>
      <c r="D972" s="602"/>
      <c r="E972" s="267"/>
      <c r="F972" s="267"/>
      <c r="G972" s="267"/>
    </row>
    <row r="973" spans="1:7" ht="15.6">
      <c r="A973" s="551" t="s">
        <v>1522</v>
      </c>
      <c r="B973" s="610" t="s">
        <v>221</v>
      </c>
      <c r="C973" s="602"/>
      <c r="D973" s="602"/>
      <c r="E973" s="267"/>
      <c r="F973" s="267"/>
      <c r="G973" s="267"/>
    </row>
    <row r="974" spans="1:7">
      <c r="A974" s="600" t="s">
        <v>1518</v>
      </c>
      <c r="B974" s="3"/>
      <c r="C974" s="602"/>
      <c r="D974" s="602"/>
      <c r="E974" s="267"/>
      <c r="F974" s="267"/>
      <c r="G974" s="267"/>
    </row>
    <row r="975" spans="1:7">
      <c r="A975" s="600" t="s">
        <v>1519</v>
      </c>
      <c r="B975" s="3"/>
      <c r="C975" s="602"/>
      <c r="D975" s="602"/>
      <c r="E975" s="267"/>
      <c r="F975" s="267"/>
      <c r="G975" s="267"/>
    </row>
    <row r="976" spans="1:7">
      <c r="A976" s="84" t="s">
        <v>1517</v>
      </c>
      <c r="B976" s="3"/>
      <c r="C976" s="602"/>
      <c r="D976" s="602"/>
      <c r="E976" s="267"/>
      <c r="F976" s="267"/>
      <c r="G976" s="267"/>
    </row>
    <row r="977" spans="1:7">
      <c r="A977" s="84" t="s">
        <v>1520</v>
      </c>
      <c r="B977" s="3"/>
      <c r="C977" s="602"/>
      <c r="D977" s="602"/>
      <c r="E977" s="267"/>
      <c r="F977" s="267"/>
      <c r="G977" s="267"/>
    </row>
    <row r="978" spans="1:7">
      <c r="C978" s="602"/>
      <c r="D978" s="602"/>
      <c r="E978" s="267"/>
      <c r="F978" s="267"/>
      <c r="G978" s="267"/>
    </row>
    <row r="979" spans="1:7" ht="15" thickBot="1"/>
    <row r="980" spans="1:7" ht="15" thickBot="1">
      <c r="A980" s="547" t="s">
        <v>1482</v>
      </c>
      <c r="B980" s="594" t="s">
        <v>1072</v>
      </c>
      <c r="C980" s="180" t="s">
        <v>1124</v>
      </c>
      <c r="D980" s="117"/>
    </row>
    <row r="981" spans="1:7">
      <c r="A981" s="544" t="s">
        <v>319</v>
      </c>
      <c r="B981" s="545" t="s">
        <v>33</v>
      </c>
      <c r="C981" s="545" t="s">
        <v>1329</v>
      </c>
    </row>
    <row r="982" spans="1:7">
      <c r="A982" s="94" t="s">
        <v>334</v>
      </c>
      <c r="B982" s="100" t="s">
        <v>335</v>
      </c>
      <c r="C982" s="30">
        <v>7.67</v>
      </c>
    </row>
    <row r="983" spans="1:7" ht="15" thickBot="1">
      <c r="A983" s="95" t="s">
        <v>1073</v>
      </c>
      <c r="B983" s="153" t="s">
        <v>323</v>
      </c>
      <c r="C983" s="41">
        <v>7.98</v>
      </c>
    </row>
    <row r="985" spans="1:7">
      <c r="A985" s="330" t="s">
        <v>1511</v>
      </c>
      <c r="B985" s="530" t="s">
        <v>528</v>
      </c>
      <c r="C985" s="530" t="s">
        <v>1512</v>
      </c>
    </row>
    <row r="986" spans="1:7">
      <c r="A986" s="84" t="s">
        <v>1513</v>
      </c>
      <c r="B986" s="115" t="s">
        <v>527</v>
      </c>
      <c r="C986" s="30">
        <v>197</v>
      </c>
    </row>
    <row r="987" spans="1:7">
      <c r="A987" s="84" t="s">
        <v>1514</v>
      </c>
      <c r="B987" s="115" t="s">
        <v>527</v>
      </c>
      <c r="C987" s="30">
        <v>197</v>
      </c>
    </row>
    <row r="988" spans="1:7">
      <c r="A988" s="84" t="s">
        <v>1515</v>
      </c>
      <c r="B988" s="30">
        <v>200</v>
      </c>
      <c r="C988" s="115" t="s">
        <v>527</v>
      </c>
    </row>
    <row r="989" spans="1:7">
      <c r="A989" s="117"/>
      <c r="B989" s="118"/>
      <c r="C989" s="490"/>
    </row>
    <row r="991" spans="1:7">
      <c r="A991" s="330" t="s">
        <v>1523</v>
      </c>
      <c r="B991" s="530" t="s">
        <v>411</v>
      </c>
      <c r="C991" s="530" t="s">
        <v>1530</v>
      </c>
      <c r="D991" s="530" t="s">
        <v>1526</v>
      </c>
      <c r="E991" s="530" t="s">
        <v>1531</v>
      </c>
      <c r="F991" s="530" t="s">
        <v>1534</v>
      </c>
    </row>
    <row r="992" spans="1:7">
      <c r="A992" s="16" t="s">
        <v>1527</v>
      </c>
      <c r="B992" s="100" t="s">
        <v>1528</v>
      </c>
      <c r="C992" s="30">
        <v>8254.89</v>
      </c>
      <c r="D992" s="30">
        <v>358.8</v>
      </c>
      <c r="E992" s="16">
        <v>765.24</v>
      </c>
      <c r="F992" s="30">
        <f>2*799.9</f>
        <v>1599.8</v>
      </c>
    </row>
    <row r="993" spans="1:9">
      <c r="A993" s="16" t="s">
        <v>1529</v>
      </c>
      <c r="B993" s="100">
        <v>1</v>
      </c>
      <c r="C993" s="16"/>
      <c r="D993" s="30">
        <v>200</v>
      </c>
      <c r="E993" s="16" t="s">
        <v>691</v>
      </c>
      <c r="F993" s="16" t="s">
        <v>1535</v>
      </c>
    </row>
    <row r="994" spans="1:9">
      <c r="A994" s="789" t="s">
        <v>238</v>
      </c>
      <c r="B994" s="789"/>
      <c r="C994" s="219">
        <f>C992</f>
        <v>8254.89</v>
      </c>
      <c r="D994" s="219">
        <f>D992+D993</f>
        <v>558.79999999999995</v>
      </c>
      <c r="E994" s="16">
        <f>E992</f>
        <v>765.24</v>
      </c>
      <c r="F994" s="219">
        <f>F992</f>
        <v>1599.8</v>
      </c>
    </row>
    <row r="995" spans="1:9" ht="15" thickBot="1"/>
    <row r="996" spans="1:9" ht="15" thickBot="1">
      <c r="A996" s="547" t="s">
        <v>1540</v>
      </c>
      <c r="B996" s="548" t="s">
        <v>1541</v>
      </c>
      <c r="C996" s="549" t="s">
        <v>346</v>
      </c>
    </row>
    <row r="997" spans="1:9">
      <c r="A997" s="544" t="s">
        <v>319</v>
      </c>
      <c r="B997" s="545" t="s">
        <v>33</v>
      </c>
      <c r="C997" s="546" t="s">
        <v>1538</v>
      </c>
    </row>
    <row r="998" spans="1:9">
      <c r="A998" s="94" t="s">
        <v>1073</v>
      </c>
      <c r="B998" s="100" t="s">
        <v>323</v>
      </c>
      <c r="C998" s="35">
        <v>6.5</v>
      </c>
      <c r="D998" t="s">
        <v>1537</v>
      </c>
    </row>
    <row r="999" spans="1:9">
      <c r="A999" s="94" t="s">
        <v>326</v>
      </c>
      <c r="B999" s="100" t="s">
        <v>327</v>
      </c>
      <c r="C999" s="523">
        <v>6.32</v>
      </c>
    </row>
    <row r="1000" spans="1:9">
      <c r="A1000" s="94" t="s">
        <v>330</v>
      </c>
      <c r="B1000" s="100" t="s">
        <v>331</v>
      </c>
      <c r="C1000" s="35">
        <v>6.4089999999999998</v>
      </c>
      <c r="D1000" t="s">
        <v>1533</v>
      </c>
    </row>
    <row r="1001" spans="1:9">
      <c r="A1001" s="94" t="s">
        <v>334</v>
      </c>
      <c r="B1001" s="100" t="s">
        <v>335</v>
      </c>
      <c r="C1001" s="35">
        <v>6.42</v>
      </c>
      <c r="D1001" t="s">
        <v>1536</v>
      </c>
      <c r="F1001" t="s">
        <v>1532</v>
      </c>
    </row>
    <row r="1002" spans="1:9">
      <c r="A1002" s="3" t="s">
        <v>1542</v>
      </c>
      <c r="B1002" s="100" t="s">
        <v>1543</v>
      </c>
      <c r="C1002" s="30">
        <v>6.32</v>
      </c>
      <c r="D1002" t="s">
        <v>1539</v>
      </c>
    </row>
    <row r="1004" spans="1:9">
      <c r="A1004" s="530" t="s">
        <v>1544</v>
      </c>
      <c r="B1004" s="530" t="s">
        <v>1555</v>
      </c>
      <c r="C1004" s="530" t="s">
        <v>1556</v>
      </c>
      <c r="D1004" s="530" t="s">
        <v>1545</v>
      </c>
      <c r="E1004" s="530" t="s">
        <v>1557</v>
      </c>
      <c r="F1004" s="530" t="s">
        <v>1564</v>
      </c>
      <c r="G1004" s="530" t="s">
        <v>1563</v>
      </c>
      <c r="H1004" s="530" t="s">
        <v>1568</v>
      </c>
      <c r="I1004" s="530" t="s">
        <v>238</v>
      </c>
    </row>
    <row r="1005" spans="1:9">
      <c r="A1005" s="603" t="s">
        <v>1546</v>
      </c>
      <c r="B1005" s="30"/>
      <c r="C1005" s="30">
        <f>130*2</f>
        <v>260</v>
      </c>
      <c r="D1005" s="30"/>
      <c r="E1005" s="30">
        <v>370</v>
      </c>
      <c r="F1005" s="30"/>
      <c r="G1005" s="30"/>
      <c r="H1005" s="30"/>
      <c r="I1005" s="30">
        <f>2831.44+E1005+C1005</f>
        <v>3461.44</v>
      </c>
    </row>
    <row r="1006" spans="1:9">
      <c r="A1006" s="603" t="s">
        <v>1547</v>
      </c>
      <c r="B1006" s="791">
        <v>928</v>
      </c>
      <c r="C1006" s="793"/>
      <c r="D1006" s="791">
        <v>1515</v>
      </c>
      <c r="E1006" s="792"/>
      <c r="F1006" s="792"/>
      <c r="G1006" s="793"/>
      <c r="H1006" s="30">
        <v>636</v>
      </c>
      <c r="I1006" s="30">
        <f>H1006+D1006+B1006</f>
        <v>3079</v>
      </c>
    </row>
    <row r="1007" spans="1:9">
      <c r="A1007" s="603" t="s">
        <v>1548</v>
      </c>
      <c r="B1007" s="30">
        <v>755</v>
      </c>
      <c r="C1007" s="30">
        <f>129*2</f>
        <v>258</v>
      </c>
      <c r="D1007" s="791">
        <v>1550</v>
      </c>
      <c r="E1007" s="793"/>
      <c r="F1007" s="30">
        <v>79</v>
      </c>
      <c r="G1007" s="30"/>
      <c r="H1007" s="30">
        <v>570</v>
      </c>
      <c r="I1007" s="30">
        <f>H1007+F1007+D1007+C1007+B1007</f>
        <v>3212</v>
      </c>
    </row>
    <row r="1008" spans="1:9">
      <c r="A1008" s="603" t="s">
        <v>1549</v>
      </c>
      <c r="B1008" s="791">
        <v>1471.8</v>
      </c>
      <c r="C1008" s="793"/>
      <c r="D1008" s="791">
        <v>1082</v>
      </c>
      <c r="E1008" s="792"/>
      <c r="F1008" s="792"/>
      <c r="G1008" s="793"/>
      <c r="H1008" s="605">
        <v>581</v>
      </c>
      <c r="I1008" s="30">
        <f>D1008+B1008+H1008</f>
        <v>3134.8</v>
      </c>
    </row>
    <row r="1009" spans="1:9">
      <c r="A1009" s="603" t="s">
        <v>1550</v>
      </c>
      <c r="B1009" s="30">
        <v>462</v>
      </c>
      <c r="C1009" s="115" t="s">
        <v>983</v>
      </c>
      <c r="D1009" s="30">
        <v>938</v>
      </c>
      <c r="E1009" s="115" t="s">
        <v>983</v>
      </c>
      <c r="F1009" s="791">
        <f>456+130+288+260</f>
        <v>1134</v>
      </c>
      <c r="G1009" s="793"/>
      <c r="H1009" s="30">
        <v>570</v>
      </c>
      <c r="I1009" s="30">
        <f>H1009+F1009+D1009+B1009</f>
        <v>3104</v>
      </c>
    </row>
    <row r="1010" spans="1:9">
      <c r="A1010" s="603" t="s">
        <v>1551</v>
      </c>
      <c r="B1010" s="30">
        <v>752.4</v>
      </c>
      <c r="C1010" s="30">
        <v>300</v>
      </c>
      <c r="D1010" s="30">
        <f>633.6+673.2</f>
        <v>1306.8000000000002</v>
      </c>
      <c r="E1010" s="30">
        <v>190</v>
      </c>
      <c r="F1010" s="30"/>
      <c r="G1010" s="30">
        <f>120*3</f>
        <v>360</v>
      </c>
      <c r="H1010" s="30">
        <v>504.9</v>
      </c>
      <c r="I1010" s="30">
        <f>H1010+G1010+E1010+D1010+C1010+B1010</f>
        <v>3414.1000000000004</v>
      </c>
    </row>
    <row r="1011" spans="1:9">
      <c r="A1011" s="603" t="s">
        <v>1552</v>
      </c>
      <c r="B1011" s="791">
        <v>1690</v>
      </c>
      <c r="C1011" s="793"/>
      <c r="D1011" s="791">
        <v>1080</v>
      </c>
      <c r="E1011" s="792"/>
      <c r="F1011" s="792"/>
      <c r="G1011" s="793"/>
      <c r="H1011" s="605">
        <v>450</v>
      </c>
      <c r="I1011" s="30">
        <f>B1011+D1011+H1011</f>
        <v>3220</v>
      </c>
    </row>
    <row r="1012" spans="1:9">
      <c r="A1012" s="603" t="s">
        <v>1553</v>
      </c>
      <c r="B1012" s="30">
        <v>904.4</v>
      </c>
      <c r="C1012" s="30"/>
      <c r="D1012" s="30">
        <v>1612.59</v>
      </c>
      <c r="E1012" s="30"/>
      <c r="F1012" s="30"/>
      <c r="G1012" s="30"/>
      <c r="H1012" s="30">
        <v>488.7</v>
      </c>
      <c r="I1012" s="30">
        <f>H1012+D1012+B1012</f>
        <v>3005.69</v>
      </c>
    </row>
    <row r="1013" spans="1:9">
      <c r="A1013" s="603" t="s">
        <v>1554</v>
      </c>
      <c r="B1013" s="30">
        <f>324+270</f>
        <v>594</v>
      </c>
      <c r="C1013" s="30">
        <v>300</v>
      </c>
      <c r="D1013" s="30">
        <v>255.6</v>
      </c>
      <c r="E1013" s="30">
        <v>220</v>
      </c>
      <c r="F1013" s="30">
        <f>267+105</f>
        <v>372</v>
      </c>
      <c r="G1013" s="30">
        <f>1520.5+270</f>
        <v>1790.5</v>
      </c>
      <c r="H1013" s="30">
        <v>445.5</v>
      </c>
      <c r="I1013" s="30">
        <f>G1013+F1013+E1013+D1013+C1013+B1013+H1013</f>
        <v>3977.6</v>
      </c>
    </row>
    <row r="1016" spans="1:9">
      <c r="A1016" s="604" t="s">
        <v>1558</v>
      </c>
      <c r="B1016" s="530" t="s">
        <v>221</v>
      </c>
      <c r="C1016" s="530" t="s">
        <v>1559</v>
      </c>
      <c r="D1016" s="530" t="s">
        <v>1561</v>
      </c>
      <c r="E1016" s="530" t="s">
        <v>1560</v>
      </c>
      <c r="F1016" s="530" t="s">
        <v>1562</v>
      </c>
    </row>
    <row r="1017" spans="1:9">
      <c r="A1017" s="84" t="s">
        <v>490</v>
      </c>
      <c r="B1017" s="100" t="s">
        <v>491</v>
      </c>
      <c r="C1017" s="30">
        <v>268.16000000000003</v>
      </c>
      <c r="D1017" s="30">
        <v>1340.8</v>
      </c>
      <c r="E1017" s="30">
        <v>390.04</v>
      </c>
      <c r="F1017" s="30">
        <v>2280.35</v>
      </c>
    </row>
    <row r="1018" spans="1:9">
      <c r="A1018" s="84" t="s">
        <v>1055</v>
      </c>
      <c r="B1018" s="100" t="s">
        <v>491</v>
      </c>
      <c r="C1018" s="30">
        <v>304.17</v>
      </c>
      <c r="D1018" s="30">
        <v>1520.85</v>
      </c>
      <c r="E1018" s="30">
        <v>456.07</v>
      </c>
      <c r="F1018" s="30">
        <v>1950.2</v>
      </c>
    </row>
    <row r="1019" spans="1:9">
      <c r="A1019" s="789" t="s">
        <v>238</v>
      </c>
      <c r="B1019" s="789"/>
      <c r="C1019" s="30">
        <f>C1017+C1018</f>
        <v>572.33000000000004</v>
      </c>
      <c r="D1019" s="30">
        <f t="shared" ref="D1019:F1019" si="10">D1017+D1018</f>
        <v>2861.6499999999996</v>
      </c>
      <c r="E1019" s="30">
        <f t="shared" si="10"/>
        <v>846.11</v>
      </c>
      <c r="F1019" s="30">
        <f t="shared" si="10"/>
        <v>4230.55</v>
      </c>
    </row>
    <row r="1021" spans="1:9">
      <c r="A1021" s="604" t="s">
        <v>1558</v>
      </c>
      <c r="B1021" s="530" t="s">
        <v>221</v>
      </c>
      <c r="C1021" s="530" t="s">
        <v>490</v>
      </c>
      <c r="D1021" s="530" t="s">
        <v>1055</v>
      </c>
      <c r="E1021" s="609" t="s">
        <v>1566</v>
      </c>
    </row>
    <row r="1022" spans="1:9">
      <c r="A1022" s="46" t="s">
        <v>1559</v>
      </c>
      <c r="B1022" s="100" t="s">
        <v>753</v>
      </c>
      <c r="C1022" s="30">
        <v>268.16000000000003</v>
      </c>
      <c r="D1022" s="30">
        <v>304.17</v>
      </c>
      <c r="E1022" s="1" t="s">
        <v>1567</v>
      </c>
    </row>
    <row r="1023" spans="1:9">
      <c r="A1023" s="530" t="s">
        <v>1561</v>
      </c>
      <c r="B1023" s="100" t="s">
        <v>491</v>
      </c>
      <c r="C1023" s="30">
        <v>1340.8</v>
      </c>
      <c r="D1023" s="30">
        <v>1520.85</v>
      </c>
      <c r="E1023" s="1" t="s">
        <v>1567</v>
      </c>
    </row>
    <row r="1024" spans="1:9">
      <c r="A1024" s="530" t="s">
        <v>1565</v>
      </c>
      <c r="B1024" s="100"/>
      <c r="C1024" s="30"/>
      <c r="D1024" s="30"/>
    </row>
    <row r="1025" spans="1:7">
      <c r="A1025" s="530" t="s">
        <v>1560</v>
      </c>
      <c r="B1025" s="100" t="s">
        <v>753</v>
      </c>
      <c r="C1025" s="30">
        <v>390.04</v>
      </c>
      <c r="D1025" s="30">
        <v>456.07</v>
      </c>
      <c r="E1025" s="1" t="s">
        <v>1567</v>
      </c>
    </row>
    <row r="1026" spans="1:7">
      <c r="A1026" s="530" t="s">
        <v>1562</v>
      </c>
      <c r="B1026" s="100" t="s">
        <v>491</v>
      </c>
      <c r="C1026" s="30">
        <v>2280.35</v>
      </c>
      <c r="D1026" s="30">
        <v>1950.2</v>
      </c>
      <c r="E1026" s="1" t="s">
        <v>1567</v>
      </c>
    </row>
    <row r="1028" spans="1:7">
      <c r="A1028" s="530" t="s">
        <v>1569</v>
      </c>
      <c r="B1028" s="530" t="s">
        <v>221</v>
      </c>
      <c r="C1028" s="802"/>
      <c r="D1028" s="100" t="s">
        <v>1377</v>
      </c>
    </row>
    <row r="1029" spans="1:7">
      <c r="A1029" s="530" t="s">
        <v>1570</v>
      </c>
      <c r="B1029" s="100">
        <v>2</v>
      </c>
      <c r="C1029" s="803"/>
      <c r="D1029" s="16"/>
    </row>
    <row r="1030" spans="1:7">
      <c r="A1030" s="530" t="s">
        <v>1571</v>
      </c>
      <c r="B1030" s="100">
        <v>2</v>
      </c>
      <c r="C1030" s="30">
        <f>455*2</f>
        <v>910</v>
      </c>
      <c r="D1030" s="16"/>
    </row>
    <row r="1031" spans="1:7">
      <c r="B1031" s="1"/>
    </row>
    <row r="1032" spans="1:7">
      <c r="A1032" s="530" t="s">
        <v>1572</v>
      </c>
      <c r="B1032" s="101" t="s">
        <v>1577</v>
      </c>
      <c r="C1032" s="101" t="s">
        <v>1580</v>
      </c>
      <c r="D1032" s="101" t="s">
        <v>1576</v>
      </c>
      <c r="E1032" s="101" t="s">
        <v>1578</v>
      </c>
      <c r="F1032" s="101" t="s">
        <v>1579</v>
      </c>
      <c r="G1032" s="101" t="s">
        <v>1167</v>
      </c>
    </row>
    <row r="1033" spans="1:7">
      <c r="A1033" s="530" t="s">
        <v>1573</v>
      </c>
      <c r="B1033" s="30">
        <v>558</v>
      </c>
      <c r="C1033" s="30">
        <v>420</v>
      </c>
      <c r="D1033" s="30">
        <v>589</v>
      </c>
      <c r="E1033" s="30">
        <v>499</v>
      </c>
      <c r="F1033" s="30">
        <v>390</v>
      </c>
      <c r="G1033" s="116">
        <v>329.57</v>
      </c>
    </row>
    <row r="1036" spans="1:7">
      <c r="A1036" s="525" t="s">
        <v>1575</v>
      </c>
      <c r="B1036" s="354" t="s">
        <v>1060</v>
      </c>
      <c r="C1036" s="354" t="s">
        <v>295</v>
      </c>
      <c r="D1036" s="354" t="s">
        <v>421</v>
      </c>
      <c r="E1036" s="354" t="s">
        <v>303</v>
      </c>
      <c r="F1036" s="354" t="s">
        <v>1589</v>
      </c>
    </row>
    <row r="1037" spans="1:7">
      <c r="A1037" s="3" t="s">
        <v>1158</v>
      </c>
      <c r="B1037" s="3">
        <v>4</v>
      </c>
      <c r="C1037" s="30">
        <v>200</v>
      </c>
      <c r="D1037" s="30">
        <v>266.60000000000002</v>
      </c>
      <c r="E1037" s="30">
        <v>240</v>
      </c>
      <c r="F1037" s="16">
        <f>117.54*2</f>
        <v>235.08</v>
      </c>
    </row>
    <row r="1038" spans="1:7">
      <c r="A1038" s="3" t="s">
        <v>1159</v>
      </c>
      <c r="B1038" s="3">
        <v>4</v>
      </c>
      <c r="C1038" s="30"/>
      <c r="D1038" s="30">
        <v>243</v>
      </c>
      <c r="E1038" s="30">
        <v>232</v>
      </c>
      <c r="F1038" s="16">
        <f>107.17*2</f>
        <v>214.34</v>
      </c>
    </row>
    <row r="1039" spans="1:7">
      <c r="A1039" s="3" t="s">
        <v>1160</v>
      </c>
      <c r="B1039" s="3">
        <v>4</v>
      </c>
      <c r="C1039" s="30">
        <v>244</v>
      </c>
      <c r="D1039" s="30">
        <v>332</v>
      </c>
      <c r="E1039" s="30">
        <v>312</v>
      </c>
      <c r="F1039" s="16">
        <f>146.39*2</f>
        <v>292.77999999999997</v>
      </c>
    </row>
    <row r="1040" spans="1:7">
      <c r="A1040" s="3" t="s">
        <v>1161</v>
      </c>
      <c r="B1040" s="3">
        <v>2</v>
      </c>
      <c r="C1040" s="30"/>
      <c r="D1040" s="30">
        <v>2164.6</v>
      </c>
      <c r="E1040" s="30">
        <v>1756</v>
      </c>
      <c r="F1040" s="16">
        <f>889.34*2</f>
        <v>1778.68</v>
      </c>
    </row>
    <row r="1041" spans="1:6">
      <c r="A1041" s="800" t="s">
        <v>260</v>
      </c>
      <c r="B1041" s="800"/>
      <c r="C1041" s="526">
        <f t="shared" ref="C1041" si="11">C1037+C1038+C1039+C1040</f>
        <v>444</v>
      </c>
      <c r="D1041" s="526">
        <f>D1037+D1038+D1039+D1040</f>
        <v>3006.2</v>
      </c>
      <c r="E1041" s="526">
        <f>E1037+E1038+E1039+E1040</f>
        <v>2540</v>
      </c>
      <c r="F1041" s="218">
        <f>F1037+F1038+F1039+F1040</f>
        <v>2520.88</v>
      </c>
    </row>
    <row r="1042" spans="1:6">
      <c r="A1042" s="270"/>
      <c r="B1042" s="270"/>
      <c r="C1042" s="272"/>
      <c r="D1042" s="272"/>
      <c r="E1042" s="272"/>
      <c r="F1042" s="272"/>
    </row>
    <row r="1043" spans="1:6">
      <c r="D1043" s="272"/>
      <c r="E1043" s="272"/>
      <c r="F1043" s="272"/>
    </row>
    <row r="1044" spans="1:6">
      <c r="A1044" s="554" t="s">
        <v>1369</v>
      </c>
      <c r="B1044" s="101" t="s">
        <v>1574</v>
      </c>
      <c r="C1044" s="272"/>
      <c r="D1044" s="272"/>
      <c r="E1044" s="272"/>
      <c r="F1044" s="272"/>
    </row>
    <row r="1046" spans="1:6">
      <c r="A1046" s="330" t="s">
        <v>1581</v>
      </c>
      <c r="B1046" s="330" t="s">
        <v>1578</v>
      </c>
    </row>
    <row r="1047" spans="1:6">
      <c r="A1047" s="330" t="s">
        <v>1582</v>
      </c>
      <c r="B1047" s="30">
        <f>415*2</f>
        <v>830</v>
      </c>
    </row>
    <row r="1048" spans="1:6" ht="15" thickBot="1"/>
    <row r="1049" spans="1:6" ht="15" thickBot="1">
      <c r="A1049" s="547" t="s">
        <v>1583</v>
      </c>
      <c r="B1049" s="594" t="s">
        <v>1072</v>
      </c>
      <c r="C1049" s="180" t="s">
        <v>1598</v>
      </c>
    </row>
    <row r="1050" spans="1:6">
      <c r="A1050" s="544" t="s">
        <v>319</v>
      </c>
      <c r="B1050" s="545" t="s">
        <v>33</v>
      </c>
      <c r="C1050" s="545" t="s">
        <v>1329</v>
      </c>
    </row>
    <row r="1051" spans="1:6">
      <c r="A1051" s="94" t="s">
        <v>334</v>
      </c>
      <c r="B1051" s="100" t="s">
        <v>335</v>
      </c>
      <c r="C1051" s="30">
        <v>7.67</v>
      </c>
    </row>
    <row r="1052" spans="1:6" ht="15" thickBot="1">
      <c r="A1052" s="95" t="s">
        <v>1073</v>
      </c>
      <c r="B1052" s="153" t="s">
        <v>323</v>
      </c>
      <c r="C1052" s="41">
        <v>7.98</v>
      </c>
    </row>
    <row r="1054" spans="1:6">
      <c r="A1054" s="330" t="s">
        <v>1584</v>
      </c>
      <c r="B1054" s="331"/>
    </row>
    <row r="1055" spans="1:6">
      <c r="A1055" s="16" t="s">
        <v>1585</v>
      </c>
      <c r="B1055" s="16"/>
    </row>
    <row r="1056" spans="1:6">
      <c r="A1056" s="16" t="s">
        <v>1586</v>
      </c>
      <c r="B1056" s="16"/>
    </row>
    <row r="1057" spans="1:9">
      <c r="A1057" s="16" t="s">
        <v>1587</v>
      </c>
      <c r="B1057" s="16"/>
    </row>
    <row r="1059" spans="1:9">
      <c r="A1059" s="218" t="s">
        <v>1588</v>
      </c>
      <c r="B1059" s="354" t="s">
        <v>295</v>
      </c>
      <c r="C1059" s="354" t="s">
        <v>421</v>
      </c>
      <c r="D1059" s="354" t="s">
        <v>303</v>
      </c>
      <c r="E1059" s="354" t="s">
        <v>1593</v>
      </c>
    </row>
    <row r="1060" spans="1:9">
      <c r="A1060" s="16" t="s">
        <v>1590</v>
      </c>
      <c r="B1060" s="30">
        <v>26</v>
      </c>
      <c r="C1060" s="30">
        <v>34.799999999999997</v>
      </c>
      <c r="D1060" s="30">
        <v>35</v>
      </c>
      <c r="E1060" s="30">
        <v>27.36</v>
      </c>
    </row>
    <row r="1061" spans="1:9">
      <c r="A1061" s="16" t="s">
        <v>1591</v>
      </c>
      <c r="B1061" s="30">
        <v>44</v>
      </c>
      <c r="C1061" s="30">
        <v>55.2</v>
      </c>
      <c r="D1061" s="30">
        <v>59</v>
      </c>
      <c r="E1061" s="30">
        <v>46.56</v>
      </c>
    </row>
    <row r="1062" spans="1:9">
      <c r="A1062" s="16" t="s">
        <v>1592</v>
      </c>
      <c r="B1062" s="30">
        <v>80</v>
      </c>
      <c r="C1062" s="30">
        <v>107</v>
      </c>
      <c r="D1062" s="30">
        <v>98</v>
      </c>
      <c r="E1062" s="30"/>
    </row>
    <row r="1063" spans="1:9">
      <c r="A1063" s="120" t="s">
        <v>238</v>
      </c>
      <c r="B1063" s="219">
        <f t="shared" ref="B1063:C1063" si="12">B1060+B1061+B1062</f>
        <v>150</v>
      </c>
      <c r="C1063" s="219">
        <f t="shared" si="12"/>
        <v>197</v>
      </c>
      <c r="D1063" s="219">
        <f>D1060+D1061+D1062</f>
        <v>192</v>
      </c>
      <c r="E1063" s="219">
        <f>E1060+E1061</f>
        <v>73.92</v>
      </c>
    </row>
    <row r="1064" spans="1:9">
      <c r="A1064" s="397" t="s">
        <v>1597</v>
      </c>
      <c r="B1064" s="389" t="s">
        <v>1595</v>
      </c>
      <c r="C1064" s="389" t="s">
        <v>1599</v>
      </c>
      <c r="D1064" s="389" t="s">
        <v>1596</v>
      </c>
      <c r="E1064" s="389" t="s">
        <v>1594</v>
      </c>
    </row>
    <row r="1067" spans="1:9">
      <c r="A1067" s="603" t="s">
        <v>1553</v>
      </c>
      <c r="B1067" s="30">
        <v>904.4</v>
      </c>
      <c r="C1067" s="30"/>
      <c r="D1067" s="30">
        <v>1612.59</v>
      </c>
      <c r="E1067" s="30"/>
      <c r="F1067" s="30"/>
      <c r="G1067" s="30"/>
      <c r="H1067" s="30">
        <v>488.7</v>
      </c>
      <c r="I1067" s="30">
        <f>H1067+D1067+B1067</f>
        <v>3005.69</v>
      </c>
    </row>
    <row r="1068" spans="1:9">
      <c r="A1068" s="603" t="s">
        <v>1547</v>
      </c>
      <c r="B1068" s="791">
        <v>928</v>
      </c>
      <c r="C1068" s="793"/>
      <c r="D1068" s="791">
        <v>1515</v>
      </c>
      <c r="E1068" s="792"/>
      <c r="F1068" s="792"/>
      <c r="G1068" s="793"/>
      <c r="H1068" s="30">
        <v>636</v>
      </c>
      <c r="I1068" s="30">
        <f>H1068+D1068+B1068</f>
        <v>3079</v>
      </c>
    </row>
    <row r="1069" spans="1:9">
      <c r="A1069" s="603" t="s">
        <v>1550</v>
      </c>
      <c r="B1069" s="30">
        <v>462</v>
      </c>
      <c r="C1069" s="115" t="s">
        <v>983</v>
      </c>
      <c r="D1069" s="30">
        <v>938</v>
      </c>
      <c r="E1069" s="115" t="s">
        <v>983</v>
      </c>
      <c r="F1069" s="791">
        <f>456+130+288+260</f>
        <v>1134</v>
      </c>
      <c r="G1069" s="793"/>
      <c r="H1069" s="30">
        <v>570</v>
      </c>
      <c r="I1069" s="30">
        <f>H1069+F1069+D1069+B1069</f>
        <v>3104</v>
      </c>
    </row>
    <row r="1070" spans="1:9">
      <c r="A1070" s="603" t="s">
        <v>1549</v>
      </c>
      <c r="B1070" s="791">
        <v>1471.8</v>
      </c>
      <c r="C1070" s="793"/>
      <c r="D1070" s="791">
        <v>1082</v>
      </c>
      <c r="E1070" s="792"/>
      <c r="F1070" s="792"/>
      <c r="G1070" s="793"/>
      <c r="H1070" s="605">
        <v>581</v>
      </c>
      <c r="I1070" s="30">
        <f>D1070+B1070+H1070</f>
        <v>3134.8</v>
      </c>
    </row>
    <row r="1071" spans="1:9">
      <c r="A1071" s="603" t="s">
        <v>1548</v>
      </c>
      <c r="B1071" s="30">
        <v>755</v>
      </c>
      <c r="C1071" s="30">
        <f>129*2</f>
        <v>258</v>
      </c>
      <c r="D1071" s="791">
        <v>1550</v>
      </c>
      <c r="E1071" s="793"/>
      <c r="F1071" s="30">
        <v>79</v>
      </c>
      <c r="G1071" s="30"/>
      <c r="H1071" s="30">
        <v>570</v>
      </c>
      <c r="I1071" s="30">
        <f>H1071+F1071+D1071+C1071+B1071</f>
        <v>3212</v>
      </c>
    </row>
    <row r="1072" spans="1:9">
      <c r="A1072" s="603" t="s">
        <v>1552</v>
      </c>
      <c r="B1072" s="791">
        <v>1690</v>
      </c>
      <c r="C1072" s="793"/>
      <c r="D1072" s="791">
        <v>1080</v>
      </c>
      <c r="E1072" s="792"/>
      <c r="F1072" s="792"/>
      <c r="G1072" s="793"/>
      <c r="H1072" s="605">
        <v>450</v>
      </c>
      <c r="I1072" s="30">
        <f>B1072+D1072+H1072</f>
        <v>3220</v>
      </c>
    </row>
    <row r="1073" spans="1:9">
      <c r="A1073" s="603" t="s">
        <v>1551</v>
      </c>
      <c r="B1073" s="30">
        <v>752.4</v>
      </c>
      <c r="C1073" s="30">
        <v>300</v>
      </c>
      <c r="D1073" s="30">
        <f>633.6+673.2</f>
        <v>1306.8000000000002</v>
      </c>
      <c r="E1073" s="30">
        <v>190</v>
      </c>
      <c r="F1073" s="30"/>
      <c r="G1073" s="30">
        <f>120*3</f>
        <v>360</v>
      </c>
      <c r="H1073" s="30">
        <v>504.9</v>
      </c>
      <c r="I1073" s="30">
        <f>H1073+G1073+E1073+D1073+C1073+B1073</f>
        <v>3414.1000000000004</v>
      </c>
    </row>
    <row r="1074" spans="1:9">
      <c r="A1074" s="603" t="s">
        <v>1546</v>
      </c>
      <c r="B1074" s="30"/>
      <c r="C1074" s="30">
        <f>130*2</f>
        <v>260</v>
      </c>
      <c r="D1074" s="30"/>
      <c r="E1074" s="30">
        <v>370</v>
      </c>
      <c r="F1074" s="30"/>
      <c r="G1074" s="30"/>
      <c r="H1074" s="30"/>
      <c r="I1074" s="30">
        <f>2831.44+E1074+C1074</f>
        <v>3461.44</v>
      </c>
    </row>
    <row r="1075" spans="1:9">
      <c r="A1075" s="603" t="s">
        <v>1554</v>
      </c>
      <c r="B1075" s="30">
        <f>324+270</f>
        <v>594</v>
      </c>
      <c r="C1075" s="30">
        <v>300</v>
      </c>
      <c r="D1075" s="30">
        <v>255.6</v>
      </c>
      <c r="E1075" s="30">
        <v>220</v>
      </c>
      <c r="F1075" s="30">
        <f>267+105</f>
        <v>372</v>
      </c>
      <c r="G1075" s="30">
        <f>1520.5+270</f>
        <v>1790.5</v>
      </c>
      <c r="H1075" s="30">
        <v>445.5</v>
      </c>
      <c r="I1075" s="30">
        <f>G1075+F1075+E1075+D1075+C1075+B1075+H1075</f>
        <v>3977.6</v>
      </c>
    </row>
    <row r="1077" spans="1:9">
      <c r="A1077" s="603" t="s">
        <v>1600</v>
      </c>
      <c r="B1077" s="105" t="s">
        <v>402</v>
      </c>
      <c r="C1077" s="101" t="s">
        <v>306</v>
      </c>
    </row>
    <row r="1078" spans="1:9">
      <c r="A1078" s="603" t="s">
        <v>1601</v>
      </c>
      <c r="B1078" s="100" t="s">
        <v>1602</v>
      </c>
      <c r="C1078" s="30">
        <v>165</v>
      </c>
    </row>
    <row r="1080" spans="1:9">
      <c r="A1080" s="603" t="s">
        <v>1603</v>
      </c>
      <c r="B1080" s="101" t="s">
        <v>1603</v>
      </c>
      <c r="C1080" s="101" t="s">
        <v>305</v>
      </c>
    </row>
    <row r="1081" spans="1:9">
      <c r="A1081" s="603" t="s">
        <v>1629</v>
      </c>
      <c r="B1081" s="100">
        <v>70</v>
      </c>
      <c r="C1081" s="30">
        <v>184.1</v>
      </c>
    </row>
    <row r="1083" spans="1:9">
      <c r="A1083" s="603" t="s">
        <v>1630</v>
      </c>
      <c r="B1083" s="81" t="s">
        <v>1632</v>
      </c>
      <c r="C1083" s="101" t="s">
        <v>1631</v>
      </c>
      <c r="D1083" s="218" t="s">
        <v>992</v>
      </c>
    </row>
    <row r="1084" spans="1:9">
      <c r="A1084" s="16" t="s">
        <v>1608</v>
      </c>
      <c r="B1084" s="100">
        <v>1</v>
      </c>
      <c r="C1084" s="30">
        <v>134.99</v>
      </c>
      <c r="D1084" s="30">
        <v>194.23</v>
      </c>
    </row>
    <row r="1085" spans="1:9">
      <c r="A1085" s="16" t="s">
        <v>1609</v>
      </c>
      <c r="B1085" s="100">
        <v>1</v>
      </c>
      <c r="C1085" s="30">
        <v>76.989999999999995</v>
      </c>
      <c r="D1085" s="30">
        <v>108</v>
      </c>
    </row>
    <row r="1086" spans="1:9">
      <c r="A1086" s="16" t="s">
        <v>1610</v>
      </c>
      <c r="B1086" s="100">
        <v>2</v>
      </c>
      <c r="C1086" s="30">
        <f>2*48.99</f>
        <v>97.98</v>
      </c>
      <c r="D1086" s="30">
        <v>183.64</v>
      </c>
    </row>
    <row r="1087" spans="1:9">
      <c r="A1087" s="16" t="s">
        <v>1611</v>
      </c>
      <c r="B1087" s="100">
        <v>1</v>
      </c>
      <c r="C1087" s="30">
        <v>7.99</v>
      </c>
      <c r="D1087" s="30">
        <v>18.75</v>
      </c>
    </row>
    <row r="1088" spans="1:9">
      <c r="A1088" s="16" t="s">
        <v>1612</v>
      </c>
      <c r="B1088" s="100">
        <v>2</v>
      </c>
      <c r="C1088" s="30">
        <v>5.8</v>
      </c>
      <c r="D1088" s="30">
        <v>28.78</v>
      </c>
    </row>
    <row r="1089" spans="1:4">
      <c r="A1089" s="16" t="s">
        <v>1613</v>
      </c>
      <c r="B1089" s="100">
        <v>7</v>
      </c>
      <c r="C1089" s="30">
        <v>41.23</v>
      </c>
      <c r="D1089" s="30">
        <v>11.12</v>
      </c>
    </row>
    <row r="1090" spans="1:4">
      <c r="A1090" s="16" t="s">
        <v>1614</v>
      </c>
      <c r="B1090" s="100">
        <v>4</v>
      </c>
      <c r="C1090" s="30">
        <v>4.3600000000000003</v>
      </c>
      <c r="D1090" s="30">
        <v>7.76</v>
      </c>
    </row>
    <row r="1091" spans="1:4">
      <c r="A1091" s="16" t="s">
        <v>1615</v>
      </c>
      <c r="B1091" s="100">
        <v>2</v>
      </c>
      <c r="C1091" s="30">
        <v>41.98</v>
      </c>
      <c r="D1091" s="30">
        <v>26.76</v>
      </c>
    </row>
    <row r="1092" spans="1:4">
      <c r="A1092" s="16" t="s">
        <v>1616</v>
      </c>
      <c r="B1092" s="100">
        <v>5</v>
      </c>
      <c r="C1092" s="30">
        <v>9.4499999999999993</v>
      </c>
      <c r="D1092" s="30">
        <v>16.7</v>
      </c>
    </row>
    <row r="1093" spans="1:4">
      <c r="A1093" s="16" t="s">
        <v>1617</v>
      </c>
      <c r="B1093" s="100">
        <v>2</v>
      </c>
      <c r="C1093" s="30">
        <v>2.1800000000000002</v>
      </c>
      <c r="D1093" s="30">
        <v>4.16</v>
      </c>
    </row>
    <row r="1094" spans="1:4">
      <c r="A1094" s="16" t="s">
        <v>1618</v>
      </c>
      <c r="B1094" s="100">
        <v>3</v>
      </c>
      <c r="C1094" s="30">
        <v>17.97</v>
      </c>
      <c r="D1094" s="30">
        <v>37.47</v>
      </c>
    </row>
    <row r="1095" spans="1:4">
      <c r="A1095" s="16" t="s">
        <v>1619</v>
      </c>
      <c r="B1095" s="100">
        <v>2</v>
      </c>
      <c r="C1095" s="30">
        <v>13.98</v>
      </c>
      <c r="D1095" s="30">
        <v>26.02</v>
      </c>
    </row>
    <row r="1096" spans="1:4">
      <c r="A1096" s="16" t="s">
        <v>1620</v>
      </c>
      <c r="B1096" s="100">
        <v>2</v>
      </c>
      <c r="C1096" s="30">
        <v>15.98</v>
      </c>
      <c r="D1096" s="30">
        <v>16.920000000000002</v>
      </c>
    </row>
    <row r="1097" spans="1:4">
      <c r="A1097" s="16" t="s">
        <v>1621</v>
      </c>
      <c r="B1097" s="100">
        <v>1</v>
      </c>
      <c r="C1097" s="30">
        <v>48.96</v>
      </c>
      <c r="D1097" s="30">
        <v>89.68</v>
      </c>
    </row>
    <row r="1098" spans="1:4">
      <c r="A1098" s="16" t="s">
        <v>1622</v>
      </c>
      <c r="B1098" s="100">
        <v>2</v>
      </c>
      <c r="C1098" s="30">
        <v>5.98</v>
      </c>
      <c r="D1098" s="30">
        <v>8.6999999999999993</v>
      </c>
    </row>
    <row r="1099" spans="1:4">
      <c r="A1099" s="16" t="s">
        <v>1623</v>
      </c>
      <c r="B1099" s="100">
        <v>11</v>
      </c>
      <c r="C1099" s="30">
        <v>11.99</v>
      </c>
      <c r="D1099" s="30">
        <v>50.71</v>
      </c>
    </row>
    <row r="1100" spans="1:4">
      <c r="A1100" s="16" t="s">
        <v>1624</v>
      </c>
      <c r="B1100" s="100">
        <v>1</v>
      </c>
      <c r="C1100" s="30">
        <v>88.56</v>
      </c>
      <c r="D1100" s="30">
        <v>143.59</v>
      </c>
    </row>
    <row r="1101" spans="1:4">
      <c r="A1101" s="16" t="s">
        <v>1625</v>
      </c>
      <c r="B1101" s="100">
        <v>1</v>
      </c>
      <c r="C1101" s="30">
        <v>1.99</v>
      </c>
      <c r="D1101" s="30">
        <v>0</v>
      </c>
    </row>
    <row r="1102" spans="1:4">
      <c r="A1102" s="16" t="s">
        <v>1626</v>
      </c>
      <c r="B1102" s="100">
        <v>1</v>
      </c>
      <c r="C1102" s="30">
        <v>13.99</v>
      </c>
      <c r="D1102" s="30">
        <v>0</v>
      </c>
    </row>
    <row r="1103" spans="1:4">
      <c r="A1103" s="16" t="s">
        <v>1627</v>
      </c>
      <c r="B1103" s="100">
        <v>1</v>
      </c>
      <c r="C1103" s="30">
        <v>12.99</v>
      </c>
      <c r="D1103" s="30">
        <v>40.94</v>
      </c>
    </row>
    <row r="1104" spans="1:4">
      <c r="A1104" s="16" t="s">
        <v>1609</v>
      </c>
      <c r="B1104" s="100">
        <v>1</v>
      </c>
      <c r="C1104" s="30">
        <v>76.989999999999995</v>
      </c>
      <c r="D1104" s="30">
        <v>108.7</v>
      </c>
    </row>
    <row r="1105" spans="1:5">
      <c r="A1105" s="16" t="s">
        <v>1628</v>
      </c>
      <c r="B1105" s="100">
        <v>1</v>
      </c>
      <c r="C1105" s="30">
        <v>12.49</v>
      </c>
      <c r="D1105" s="30">
        <v>6.3</v>
      </c>
    </row>
    <row r="1106" spans="1:5">
      <c r="A1106" s="786" t="s">
        <v>260</v>
      </c>
      <c r="B1106" s="787"/>
      <c r="C1106" s="30">
        <f>SUM(C1084:C1105)</f>
        <v>744.82000000000016</v>
      </c>
      <c r="D1106" s="30">
        <f>SUM(D1084:D1105)</f>
        <v>1128.93</v>
      </c>
    </row>
    <row r="1109" spans="1:5">
      <c r="A1109" s="218" t="s">
        <v>1604</v>
      </c>
      <c r="B1109" s="101" t="s">
        <v>1593</v>
      </c>
      <c r="C1109" s="101" t="s">
        <v>1606</v>
      </c>
      <c r="D1109" s="218" t="s">
        <v>1634</v>
      </c>
    </row>
    <row r="1110" spans="1:5">
      <c r="A1110" s="218" t="s">
        <v>1607</v>
      </c>
      <c r="B1110" s="30">
        <v>1574.16</v>
      </c>
      <c r="C1110" s="30">
        <v>1790</v>
      </c>
      <c r="D1110" s="30">
        <v>1580.42</v>
      </c>
    </row>
    <row r="1111" spans="1:5">
      <c r="A1111" s="611" t="s">
        <v>1255</v>
      </c>
      <c r="B1111" s="100" t="s">
        <v>1605</v>
      </c>
      <c r="C1111" s="100" t="s">
        <v>1605</v>
      </c>
      <c r="D1111" s="16" t="s">
        <v>1635</v>
      </c>
    </row>
    <row r="1112" spans="1:5" ht="15" thickBot="1"/>
    <row r="1113" spans="1:5" ht="15" thickBot="1">
      <c r="A1113" s="547" t="s">
        <v>1633</v>
      </c>
      <c r="B1113" s="548" t="s">
        <v>1541</v>
      </c>
      <c r="C1113" s="549" t="s">
        <v>346</v>
      </c>
    </row>
    <row r="1114" spans="1:5">
      <c r="A1114" s="544" t="s">
        <v>319</v>
      </c>
      <c r="B1114" s="545" t="s">
        <v>33</v>
      </c>
      <c r="C1114" s="546" t="s">
        <v>1538</v>
      </c>
    </row>
    <row r="1115" spans="1:5">
      <c r="A1115" s="94" t="s">
        <v>1073</v>
      </c>
      <c r="B1115" s="100" t="s">
        <v>323</v>
      </c>
      <c r="C1115" s="35"/>
    </row>
    <row r="1116" spans="1:5">
      <c r="A1116" s="94" t="s">
        <v>326</v>
      </c>
      <c r="B1116" s="100" t="s">
        <v>327</v>
      </c>
      <c r="C1116" s="523">
        <v>6.3</v>
      </c>
      <c r="D1116" t="s">
        <v>1533</v>
      </c>
    </row>
    <row r="1117" spans="1:5">
      <c r="A1117" s="94" t="s">
        <v>330</v>
      </c>
      <c r="B1117" s="100" t="s">
        <v>331</v>
      </c>
      <c r="C1117" s="35"/>
    </row>
    <row r="1118" spans="1:5">
      <c r="A1118" s="94" t="s">
        <v>334</v>
      </c>
      <c r="B1118" s="100" t="s">
        <v>335</v>
      </c>
      <c r="C1118" s="35"/>
    </row>
    <row r="1119" spans="1:5">
      <c r="A1119" s="3" t="s">
        <v>1542</v>
      </c>
      <c r="B1119" s="100" t="s">
        <v>1543</v>
      </c>
      <c r="C1119" s="30">
        <v>6.3</v>
      </c>
      <c r="D1119" s="14" t="s">
        <v>1539</v>
      </c>
      <c r="E1119" t="s">
        <v>1658</v>
      </c>
    </row>
    <row r="1121" spans="1:7">
      <c r="A1121" s="551" t="s">
        <v>1636</v>
      </c>
      <c r="B1121" s="801" t="s">
        <v>221</v>
      </c>
      <c r="C1121" s="801" t="s">
        <v>1428</v>
      </c>
    </row>
    <row r="1122" spans="1:7">
      <c r="A1122" s="294" t="s">
        <v>1637</v>
      </c>
      <c r="B1122" s="801"/>
      <c r="C1122" s="801"/>
    </row>
    <row r="1123" spans="1:7">
      <c r="A1123" s="16" t="s">
        <v>1638</v>
      </c>
      <c r="B1123" s="100">
        <v>2</v>
      </c>
      <c r="C1123" s="16">
        <v>31.02</v>
      </c>
    </row>
    <row r="1124" spans="1:7">
      <c r="A1124" s="16" t="s">
        <v>1639</v>
      </c>
      <c r="B1124" s="100">
        <v>8</v>
      </c>
      <c r="C1124" s="16">
        <v>326.32</v>
      </c>
    </row>
    <row r="1125" spans="1:7">
      <c r="A1125" s="102" t="s">
        <v>1640</v>
      </c>
      <c r="B1125" s="333"/>
      <c r="C1125" s="333"/>
    </row>
    <row r="1126" spans="1:7">
      <c r="A1126" s="16" t="s">
        <v>1671</v>
      </c>
      <c r="B1126" s="100">
        <v>1</v>
      </c>
      <c r="C1126" s="16">
        <v>11.03</v>
      </c>
    </row>
    <row r="1127" spans="1:7">
      <c r="A1127" s="16" t="s">
        <v>1641</v>
      </c>
      <c r="B1127" s="100">
        <v>4</v>
      </c>
      <c r="C1127" s="16">
        <v>110.36</v>
      </c>
    </row>
    <row r="1128" spans="1:7">
      <c r="A1128" s="789" t="s">
        <v>238</v>
      </c>
      <c r="B1128" s="789"/>
      <c r="C1128" s="84">
        <f>C1123+C1124+C1126+C1127</f>
        <v>478.72999999999996</v>
      </c>
    </row>
    <row r="1130" spans="1:7">
      <c r="A1130" s="330" t="s">
        <v>1642</v>
      </c>
      <c r="B1130" s="16"/>
      <c r="C1130" s="16"/>
    </row>
    <row r="1131" spans="1:7">
      <c r="A1131" s="331" t="s">
        <v>1643</v>
      </c>
      <c r="B1131" s="16" t="s">
        <v>1768</v>
      </c>
      <c r="C1131" s="16"/>
    </row>
    <row r="1132" spans="1:7">
      <c r="A1132" s="331" t="s">
        <v>1644</v>
      </c>
      <c r="B1132" s="16" t="s">
        <v>1769</v>
      </c>
      <c r="C1132" s="16"/>
    </row>
    <row r="1134" spans="1:7">
      <c r="A1134" s="330" t="s">
        <v>1645</v>
      </c>
      <c r="B1134" s="530" t="s">
        <v>221</v>
      </c>
      <c r="C1134" s="530" t="s">
        <v>1656</v>
      </c>
      <c r="D1134" s="530" t="s">
        <v>1657</v>
      </c>
      <c r="E1134" s="530" t="s">
        <v>1659</v>
      </c>
      <c r="F1134" s="530" t="s">
        <v>1660</v>
      </c>
      <c r="G1134" s="530" t="s">
        <v>1662</v>
      </c>
    </row>
    <row r="1135" spans="1:7">
      <c r="A1135" s="81" t="s">
        <v>1646</v>
      </c>
      <c r="B1135" s="100">
        <v>4</v>
      </c>
      <c r="C1135" s="30">
        <v>2654.32</v>
      </c>
      <c r="D1135" s="30">
        <v>840</v>
      </c>
      <c r="E1135" s="30">
        <v>0</v>
      </c>
      <c r="F1135" s="30">
        <v>0</v>
      </c>
      <c r="G1135" s="30">
        <v>0</v>
      </c>
    </row>
    <row r="1136" spans="1:7">
      <c r="A1136" s="81" t="s">
        <v>1647</v>
      </c>
      <c r="B1136" s="100">
        <v>35</v>
      </c>
      <c r="C1136" s="30">
        <v>495.25</v>
      </c>
      <c r="D1136" s="30">
        <v>880.95</v>
      </c>
      <c r="E1136" s="30">
        <v>630</v>
      </c>
      <c r="F1136" s="116">
        <v>862.4</v>
      </c>
      <c r="G1136" s="30">
        <v>376.25</v>
      </c>
    </row>
    <row r="1137" spans="1:7">
      <c r="A1137" s="81" t="s">
        <v>1648</v>
      </c>
      <c r="B1137" s="100">
        <v>2</v>
      </c>
      <c r="C1137" s="30">
        <v>20.68</v>
      </c>
      <c r="D1137" s="30">
        <v>34.700000000000003</v>
      </c>
      <c r="E1137" s="30">
        <v>34</v>
      </c>
      <c r="F1137" s="116">
        <v>55.48</v>
      </c>
      <c r="G1137" s="30">
        <v>14</v>
      </c>
    </row>
    <row r="1138" spans="1:7">
      <c r="A1138" s="81" t="s">
        <v>1649</v>
      </c>
      <c r="B1138" s="100">
        <v>4</v>
      </c>
      <c r="C1138" s="30">
        <v>62.56</v>
      </c>
      <c r="D1138" s="30">
        <v>65</v>
      </c>
      <c r="E1138" s="30">
        <v>70</v>
      </c>
      <c r="F1138" s="116">
        <v>101.64</v>
      </c>
      <c r="G1138" s="30">
        <v>0</v>
      </c>
    </row>
    <row r="1139" spans="1:7">
      <c r="A1139" s="81" t="s">
        <v>1650</v>
      </c>
      <c r="B1139" s="100">
        <v>2</v>
      </c>
      <c r="C1139" s="30">
        <v>363.6</v>
      </c>
      <c r="D1139" s="30">
        <v>105.1</v>
      </c>
      <c r="E1139" s="30">
        <v>0</v>
      </c>
      <c r="F1139" s="116">
        <v>97.78</v>
      </c>
      <c r="G1139" s="30">
        <v>64.8</v>
      </c>
    </row>
    <row r="1140" spans="1:7">
      <c r="A1140" s="81" t="s">
        <v>1654</v>
      </c>
      <c r="B1140" s="100">
        <v>1</v>
      </c>
      <c r="C1140" s="30">
        <v>0</v>
      </c>
      <c r="D1140" s="30">
        <v>758.48</v>
      </c>
      <c r="E1140" s="30">
        <v>417</v>
      </c>
      <c r="F1140" s="30">
        <v>0</v>
      </c>
      <c r="G1140" s="30">
        <v>0</v>
      </c>
    </row>
    <row r="1141" spans="1:7">
      <c r="A1141" s="81" t="s">
        <v>1655</v>
      </c>
      <c r="B1141" s="100">
        <v>16</v>
      </c>
      <c r="C1141" s="30">
        <v>735.36</v>
      </c>
      <c r="D1141" s="30">
        <v>776</v>
      </c>
      <c r="E1141" s="30">
        <v>0</v>
      </c>
      <c r="F1141" s="116">
        <v>1260</v>
      </c>
      <c r="G1141" s="30">
        <v>745.6</v>
      </c>
    </row>
    <row r="1142" spans="1:7">
      <c r="A1142" s="795" t="s">
        <v>238</v>
      </c>
      <c r="B1142" s="795"/>
      <c r="C1142" s="311">
        <f>SUM(C1135:C1141)</f>
        <v>4331.7699999999995</v>
      </c>
      <c r="D1142" s="311">
        <f>SUM(D1135:D1141)</f>
        <v>3460.23</v>
      </c>
      <c r="E1142" s="315">
        <f>SUM(E1135:E1141)</f>
        <v>1151</v>
      </c>
      <c r="F1142" s="315">
        <f>SUM(F1135:F1141)</f>
        <v>2377.3000000000002</v>
      </c>
      <c r="G1142" s="315">
        <f>SUM(G1135:G1141)</f>
        <v>1200.6500000000001</v>
      </c>
    </row>
    <row r="1144" spans="1:7">
      <c r="A1144" s="218" t="s">
        <v>1668</v>
      </c>
      <c r="B1144" s="101">
        <v>1</v>
      </c>
      <c r="C1144" s="218"/>
    </row>
    <row r="1145" spans="1:7">
      <c r="A1145" s="218" t="s">
        <v>1652</v>
      </c>
      <c r="B1145" s="3">
        <v>15</v>
      </c>
      <c r="C1145" s="788" t="s">
        <v>161</v>
      </c>
    </row>
    <row r="1146" spans="1:7">
      <c r="A1146" s="218" t="s">
        <v>1653</v>
      </c>
      <c r="B1146" s="3">
        <v>15</v>
      </c>
      <c r="C1146" s="788"/>
    </row>
    <row r="1148" spans="1:7">
      <c r="A1148" s="330" t="s">
        <v>1645</v>
      </c>
      <c r="B1148" s="530" t="s">
        <v>221</v>
      </c>
      <c r="C1148" s="530" t="s">
        <v>1661</v>
      </c>
      <c r="D1148" s="530" t="s">
        <v>1657</v>
      </c>
      <c r="E1148" s="530" t="s">
        <v>1659</v>
      </c>
      <c r="F1148" s="530" t="s">
        <v>1663</v>
      </c>
      <c r="G1148" s="530" t="s">
        <v>1662</v>
      </c>
    </row>
    <row r="1149" spans="1:7">
      <c r="A1149" s="16" t="s">
        <v>1651</v>
      </c>
      <c r="B1149" s="100">
        <v>16</v>
      </c>
      <c r="C1149" s="30">
        <f>500*B1149</f>
        <v>8000</v>
      </c>
      <c r="D1149" s="30">
        <f>B1149*533.71</f>
        <v>8539.36</v>
      </c>
      <c r="E1149" s="30">
        <v>4752</v>
      </c>
      <c r="F1149" s="30">
        <v>0</v>
      </c>
      <c r="G1149" s="30">
        <v>9600</v>
      </c>
    </row>
    <row r="1150" spans="1:7">
      <c r="C1150" t="s">
        <v>1665</v>
      </c>
      <c r="E1150" t="s">
        <v>1664</v>
      </c>
    </row>
    <row r="1151" spans="1:7">
      <c r="A1151" s="604" t="s">
        <v>1666</v>
      </c>
      <c r="B1151" s="530" t="s">
        <v>221</v>
      </c>
      <c r="C1151" s="530" t="s">
        <v>1559</v>
      </c>
      <c r="D1151" s="530" t="s">
        <v>1561</v>
      </c>
      <c r="E1151" s="530" t="s">
        <v>1560</v>
      </c>
      <c r="F1151" s="530" t="s">
        <v>1562</v>
      </c>
    </row>
    <row r="1152" spans="1:7">
      <c r="A1152" s="612" t="s">
        <v>1667</v>
      </c>
      <c r="B1152" s="100" t="s">
        <v>753</v>
      </c>
      <c r="C1152" s="613">
        <v>368.42</v>
      </c>
      <c r="D1152" s="613">
        <v>368.42</v>
      </c>
      <c r="E1152" s="473">
        <v>0</v>
      </c>
      <c r="F1152" s="473">
        <v>0</v>
      </c>
    </row>
    <row r="1153" spans="1:6">
      <c r="A1153" s="84" t="s">
        <v>490</v>
      </c>
      <c r="B1153" s="100" t="s">
        <v>491</v>
      </c>
      <c r="C1153" s="30">
        <v>304.17</v>
      </c>
      <c r="D1153" s="30">
        <v>1340.8</v>
      </c>
      <c r="E1153" s="30">
        <v>390.04</v>
      </c>
      <c r="F1153" s="30">
        <v>2280.35</v>
      </c>
    </row>
    <row r="1154" spans="1:6">
      <c r="A1154" s="84" t="s">
        <v>1055</v>
      </c>
      <c r="B1154" s="100" t="s">
        <v>491</v>
      </c>
      <c r="C1154" s="30">
        <v>268.16000000000003</v>
      </c>
      <c r="D1154" s="30">
        <v>1520.85</v>
      </c>
      <c r="E1154" s="30">
        <v>456.07</v>
      </c>
      <c r="F1154" s="30">
        <v>1950.2</v>
      </c>
    </row>
    <row r="1155" spans="1:6">
      <c r="A1155" s="789" t="s">
        <v>238</v>
      </c>
      <c r="B1155" s="789"/>
      <c r="C1155" s="30">
        <f>SUM(C1152:C1154)</f>
        <v>940.75</v>
      </c>
      <c r="D1155" s="30">
        <f>SUM(D1152:D1154)</f>
        <v>3230.0699999999997</v>
      </c>
      <c r="E1155" s="30">
        <f>SUM(E1152:E1154)</f>
        <v>846.11</v>
      </c>
      <c r="F1155" s="30">
        <f>SUM(F1152:F1154)</f>
        <v>4230.55</v>
      </c>
    </row>
    <row r="1157" spans="1:6">
      <c r="A1157" s="794" t="s">
        <v>1656</v>
      </c>
      <c r="B1157" s="790" t="s">
        <v>1669</v>
      </c>
    </row>
    <row r="1158" spans="1:6">
      <c r="A1158" s="794"/>
      <c r="B1158" s="790"/>
    </row>
    <row r="1159" spans="1:6">
      <c r="A1159" s="859" t="s">
        <v>1657</v>
      </c>
      <c r="B1159" s="790" t="s">
        <v>1670</v>
      </c>
    </row>
    <row r="1160" spans="1:6">
      <c r="A1160" s="859"/>
      <c r="B1160" s="790"/>
    </row>
    <row r="1162" spans="1:6">
      <c r="A1162" s="218" t="s">
        <v>1672</v>
      </c>
      <c r="B1162" s="218" t="s">
        <v>1674</v>
      </c>
      <c r="C1162" s="218" t="s">
        <v>1675</v>
      </c>
    </row>
    <row r="1163" spans="1:6">
      <c r="A1163" s="218" t="s">
        <v>1673</v>
      </c>
      <c r="B1163" s="100">
        <v>5</v>
      </c>
      <c r="C1163" s="30">
        <v>1070</v>
      </c>
    </row>
    <row r="1164" spans="1:6">
      <c r="B1164" s="1"/>
      <c r="C1164" s="118"/>
    </row>
    <row r="1165" spans="1:6">
      <c r="A1165" s="218" t="s">
        <v>1766</v>
      </c>
      <c r="B1165" s="101"/>
      <c r="C1165" s="622"/>
    </row>
    <row r="1166" spans="1:6">
      <c r="A1166" s="218" t="s">
        <v>1762</v>
      </c>
      <c r="B1166" s="100" t="s">
        <v>1767</v>
      </c>
      <c r="C1166" s="100" t="s">
        <v>1767</v>
      </c>
    </row>
    <row r="1167" spans="1:6">
      <c r="A1167" s="218" t="s">
        <v>1763</v>
      </c>
      <c r="B1167" s="100"/>
      <c r="C1167" s="30"/>
    </row>
    <row r="1168" spans="1:6">
      <c r="A1168" s="218" t="s">
        <v>1764</v>
      </c>
      <c r="B1168" s="100"/>
      <c r="C1168" s="30"/>
    </row>
    <row r="1169" spans="1:4">
      <c r="A1169" s="218" t="s">
        <v>1765</v>
      </c>
      <c r="B1169" s="100"/>
      <c r="C1169" s="30"/>
    </row>
    <row r="1170" spans="1:4">
      <c r="A1170" s="117"/>
      <c r="B1170" s="1"/>
      <c r="C1170" s="118"/>
    </row>
    <row r="1171" spans="1:4">
      <c r="A1171" s="117" t="s">
        <v>1770</v>
      </c>
      <c r="B1171" s="1"/>
      <c r="C1171" s="118"/>
    </row>
    <row r="1174" spans="1:4">
      <c r="A1174" s="330" t="s">
        <v>1677</v>
      </c>
      <c r="B1174" s="530" t="s">
        <v>1676</v>
      </c>
      <c r="C1174" s="530" t="s">
        <v>238</v>
      </c>
    </row>
    <row r="1175" spans="1:4">
      <c r="A1175" s="81" t="s">
        <v>1678</v>
      </c>
      <c r="B1175" s="30">
        <v>23.99</v>
      </c>
      <c r="C1175" s="219">
        <f>B1175*30</f>
        <v>719.69999999999993</v>
      </c>
    </row>
    <row r="1176" spans="1:4">
      <c r="A1176" s="81" t="s">
        <v>1679</v>
      </c>
      <c r="B1176" s="30">
        <v>27.99</v>
      </c>
      <c r="C1176" s="219">
        <f t="shared" ref="C1176:C1178" si="13">B1176*30</f>
        <v>839.69999999999993</v>
      </c>
    </row>
    <row r="1177" spans="1:4">
      <c r="A1177" s="81" t="s">
        <v>1680</v>
      </c>
      <c r="B1177" s="30">
        <v>29.9</v>
      </c>
      <c r="C1177" s="219">
        <f t="shared" si="13"/>
        <v>897</v>
      </c>
    </row>
    <row r="1178" spans="1:4">
      <c r="A1178" s="81" t="s">
        <v>1681</v>
      </c>
      <c r="B1178" s="30">
        <v>26.9</v>
      </c>
      <c r="C1178" s="219">
        <f t="shared" si="13"/>
        <v>807</v>
      </c>
    </row>
    <row r="1179" spans="1:4">
      <c r="A1179" s="81" t="s">
        <v>1682</v>
      </c>
      <c r="B1179" s="16"/>
      <c r="C1179" s="16"/>
    </row>
    <row r="1181" spans="1:4">
      <c r="A1181" s="218" t="s">
        <v>1683</v>
      </c>
      <c r="B1181" s="101" t="s">
        <v>411</v>
      </c>
      <c r="C1181" s="101" t="s">
        <v>1692</v>
      </c>
      <c r="D1181" s="101" t="s">
        <v>1694</v>
      </c>
    </row>
    <row r="1182" spans="1:4">
      <c r="A1182" s="218" t="s">
        <v>1684</v>
      </c>
      <c r="B1182" s="100">
        <v>2</v>
      </c>
      <c r="C1182" s="30">
        <v>521.15</v>
      </c>
      <c r="D1182" s="30">
        <f>323.54+129.62+181.68+36.3</f>
        <v>671.14</v>
      </c>
    </row>
    <row r="1183" spans="1:4">
      <c r="A1183" s="218" t="s">
        <v>1685</v>
      </c>
      <c r="B1183" s="100">
        <v>6</v>
      </c>
      <c r="C1183" s="30">
        <v>135</v>
      </c>
      <c r="D1183" s="30">
        <v>128.88</v>
      </c>
    </row>
    <row r="1184" spans="1:4">
      <c r="A1184" s="218" t="s">
        <v>1686</v>
      </c>
      <c r="B1184" s="100">
        <v>3</v>
      </c>
      <c r="C1184" s="30">
        <v>106.8</v>
      </c>
      <c r="D1184" s="30">
        <v>126</v>
      </c>
    </row>
    <row r="1185" spans="1:4">
      <c r="A1185" s="218" t="s">
        <v>1687</v>
      </c>
      <c r="B1185" s="100">
        <v>3</v>
      </c>
      <c r="C1185" s="30">
        <v>119.28</v>
      </c>
      <c r="D1185" s="30">
        <v>133.77000000000001</v>
      </c>
    </row>
    <row r="1186" spans="1:4">
      <c r="A1186" s="218" t="s">
        <v>1688</v>
      </c>
      <c r="B1186" s="100">
        <v>2</v>
      </c>
      <c r="C1186" s="30">
        <v>38.049999999999997</v>
      </c>
      <c r="D1186" s="30">
        <v>32</v>
      </c>
    </row>
    <row r="1187" spans="1:4">
      <c r="A1187" s="218" t="s">
        <v>1689</v>
      </c>
      <c r="B1187" s="100">
        <v>12</v>
      </c>
      <c r="C1187" s="30">
        <v>33.76</v>
      </c>
      <c r="D1187" s="30">
        <v>60</v>
      </c>
    </row>
    <row r="1188" spans="1:4">
      <c r="A1188" s="218" t="s">
        <v>1690</v>
      </c>
      <c r="B1188" s="100">
        <v>50</v>
      </c>
      <c r="C1188" s="30">
        <v>26.55</v>
      </c>
      <c r="D1188" s="30">
        <v>0</v>
      </c>
    </row>
    <row r="1189" spans="1:4">
      <c r="A1189" s="218" t="s">
        <v>1691</v>
      </c>
      <c r="B1189" s="100">
        <v>50</v>
      </c>
      <c r="C1189" s="30">
        <v>8</v>
      </c>
      <c r="D1189" s="30">
        <v>0</v>
      </c>
    </row>
    <row r="1190" spans="1:4">
      <c r="A1190" s="796" t="s">
        <v>238</v>
      </c>
      <c r="B1190" s="796"/>
      <c r="C1190" s="616">
        <f>SUM(C1182:C1189)</f>
        <v>988.5899999999998</v>
      </c>
      <c r="D1190" s="219">
        <f>SUM(D1182:D1189)</f>
        <v>1151.79</v>
      </c>
    </row>
    <row r="1192" spans="1:4">
      <c r="A1192" s="218" t="s">
        <v>1693</v>
      </c>
      <c r="B1192" s="530" t="s">
        <v>1695</v>
      </c>
    </row>
    <row r="1193" spans="1:4">
      <c r="A1193" s="554" t="s">
        <v>1696</v>
      </c>
      <c r="B1193" s="30">
        <v>1448.37</v>
      </c>
      <c r="C1193" s="14" t="s">
        <v>1697</v>
      </c>
    </row>
    <row r="1194" spans="1:4">
      <c r="A1194" s="554" t="s">
        <v>1698</v>
      </c>
      <c r="B1194" s="30">
        <v>2930</v>
      </c>
      <c r="C1194" t="s">
        <v>1697</v>
      </c>
    </row>
    <row r="1195" spans="1:4">
      <c r="A1195" s="554" t="s">
        <v>1699</v>
      </c>
      <c r="B1195" s="30">
        <f>1850+390</f>
        <v>2240</v>
      </c>
      <c r="C1195" t="s">
        <v>1697</v>
      </c>
    </row>
    <row r="1196" spans="1:4">
      <c r="A1196" s="554" t="s">
        <v>1700</v>
      </c>
      <c r="B1196" s="30"/>
    </row>
    <row r="1197" spans="1:4">
      <c r="A1197" s="554" t="s">
        <v>1701</v>
      </c>
      <c r="B1197" s="30">
        <v>1715</v>
      </c>
      <c r="C1197" t="s">
        <v>1697</v>
      </c>
    </row>
    <row r="1198" spans="1:4">
      <c r="A1198" s="218" t="s">
        <v>1715</v>
      </c>
      <c r="B1198" s="30">
        <v>1814</v>
      </c>
      <c r="C1198" t="s">
        <v>1697</v>
      </c>
    </row>
    <row r="1200" spans="1:4">
      <c r="A1200" s="330" t="s">
        <v>1702</v>
      </c>
      <c r="B1200" s="101" t="s">
        <v>1716</v>
      </c>
      <c r="C1200" s="101" t="s">
        <v>1717</v>
      </c>
      <c r="D1200" s="101" t="s">
        <v>1718</v>
      </c>
    </row>
    <row r="1201" spans="1:7">
      <c r="A1201" s="530" t="s">
        <v>1719</v>
      </c>
    </row>
    <row r="1203" spans="1:7">
      <c r="A1203" s="330" t="s">
        <v>1705</v>
      </c>
      <c r="B1203" s="530" t="s">
        <v>1060</v>
      </c>
      <c r="C1203" s="530" t="s">
        <v>1422</v>
      </c>
      <c r="D1203" s="530" t="s">
        <v>213</v>
      </c>
      <c r="E1203" s="530" t="s">
        <v>1704</v>
      </c>
      <c r="F1203" s="530" t="s">
        <v>1204</v>
      </c>
      <c r="G1203" s="530" t="s">
        <v>1706</v>
      </c>
    </row>
    <row r="1204" spans="1:7">
      <c r="A1204" s="330" t="s">
        <v>1703</v>
      </c>
      <c r="B1204" s="3">
        <v>2</v>
      </c>
      <c r="C1204" s="30">
        <v>94</v>
      </c>
      <c r="D1204" s="30">
        <v>90</v>
      </c>
      <c r="E1204" s="30">
        <v>160</v>
      </c>
      <c r="F1204" s="615">
        <v>91.98</v>
      </c>
      <c r="G1204" s="116">
        <v>150</v>
      </c>
    </row>
    <row r="1205" spans="1:7">
      <c r="A1205" s="117"/>
      <c r="B1205" s="72"/>
      <c r="C1205" s="48"/>
      <c r="D1205" s="48"/>
      <c r="E1205" s="48"/>
      <c r="G1205" s="48"/>
    </row>
    <row r="1206" spans="1:7">
      <c r="A1206" s="330" t="s">
        <v>1734</v>
      </c>
      <c r="B1206" s="3">
        <v>2</v>
      </c>
      <c r="C1206" s="30">
        <v>226.98</v>
      </c>
      <c r="D1206" s="30">
        <f>C1206-91.98</f>
        <v>135</v>
      </c>
      <c r="E1206" s="118"/>
      <c r="G1206" s="48"/>
    </row>
    <row r="1208" spans="1:7" ht="15" thickBot="1"/>
    <row r="1209" spans="1:7" ht="15" thickBot="1">
      <c r="A1209" s="547" t="s">
        <v>1708</v>
      </c>
      <c r="B1209" s="594" t="s">
        <v>1072</v>
      </c>
      <c r="C1209" s="180" t="s">
        <v>1598</v>
      </c>
    </row>
    <row r="1210" spans="1:7">
      <c r="A1210" s="544" t="s">
        <v>319</v>
      </c>
      <c r="B1210" s="545" t="s">
        <v>33</v>
      </c>
      <c r="C1210" s="545" t="s">
        <v>1329</v>
      </c>
    </row>
    <row r="1211" spans="1:7">
      <c r="A1211" s="94" t="s">
        <v>334</v>
      </c>
      <c r="B1211" s="100" t="s">
        <v>335</v>
      </c>
      <c r="C1211" s="30">
        <v>7.67</v>
      </c>
      <c r="D1211" t="s">
        <v>1707</v>
      </c>
    </row>
    <row r="1212" spans="1:7" ht="15" thickBot="1">
      <c r="A1212" s="95" t="s">
        <v>1073</v>
      </c>
      <c r="B1212" s="153" t="s">
        <v>323</v>
      </c>
      <c r="C1212" s="41">
        <v>7.98</v>
      </c>
    </row>
    <row r="1214" spans="1:7">
      <c r="A1214" s="330" t="s">
        <v>1709</v>
      </c>
      <c r="B1214" s="530" t="s">
        <v>1711</v>
      </c>
    </row>
    <row r="1215" spans="1:7">
      <c r="A1215" s="331" t="s">
        <v>1710</v>
      </c>
      <c r="B1215" s="30"/>
    </row>
    <row r="1217" spans="1:5">
      <c r="A1217" s="330" t="s">
        <v>1712</v>
      </c>
      <c r="B1217" s="530" t="s">
        <v>1714</v>
      </c>
    </row>
    <row r="1218" spans="1:5">
      <c r="A1218" s="330" t="s">
        <v>1713</v>
      </c>
      <c r="B1218" s="16"/>
    </row>
    <row r="1220" spans="1:5">
      <c r="A1220" s="84" t="s">
        <v>1722</v>
      </c>
      <c r="B1220" s="3" t="s">
        <v>1723</v>
      </c>
      <c r="C1220" s="3" t="s">
        <v>1735</v>
      </c>
    </row>
    <row r="1221" spans="1:5">
      <c r="A1221" s="16"/>
      <c r="B1221" s="30">
        <v>1950</v>
      </c>
      <c r="C1221" s="30">
        <v>1919</v>
      </c>
      <c r="D1221" s="118"/>
      <c r="E1221" s="49"/>
    </row>
    <row r="1223" spans="1:5">
      <c r="A1223" s="218" t="s">
        <v>1720</v>
      </c>
      <c r="B1223" s="101" t="s">
        <v>1726</v>
      </c>
      <c r="C1223" s="117"/>
    </row>
    <row r="1224" spans="1:5">
      <c r="A1224" s="81" t="s">
        <v>1721</v>
      </c>
      <c r="B1224" s="30">
        <v>1000</v>
      </c>
    </row>
    <row r="1226" spans="1:5">
      <c r="A1226" s="555" t="s">
        <v>1724</v>
      </c>
      <c r="B1226" s="101" t="s">
        <v>606</v>
      </c>
    </row>
    <row r="1227" spans="1:5">
      <c r="A1227" s="84" t="s">
        <v>1725</v>
      </c>
      <c r="B1227" s="614">
        <f>775*2</f>
        <v>1550</v>
      </c>
    </row>
    <row r="1229" spans="1:5">
      <c r="A1229" s="218" t="s">
        <v>1727</v>
      </c>
      <c r="B1229" s="101" t="s">
        <v>1060</v>
      </c>
      <c r="C1229" s="101" t="s">
        <v>1631</v>
      </c>
    </row>
    <row r="1230" spans="1:5">
      <c r="A1230" s="218" t="s">
        <v>1731</v>
      </c>
      <c r="B1230" s="100">
        <v>10</v>
      </c>
      <c r="C1230" s="30">
        <v>129.99</v>
      </c>
    </row>
    <row r="1231" spans="1:5">
      <c r="A1231" s="218" t="s">
        <v>1728</v>
      </c>
      <c r="B1231" s="100">
        <v>9</v>
      </c>
      <c r="C1231" s="30">
        <f>131.96+16.5</f>
        <v>148.46</v>
      </c>
    </row>
    <row r="1232" spans="1:5">
      <c r="A1232" s="218" t="s">
        <v>1729</v>
      </c>
      <c r="B1232" s="100" t="s">
        <v>1732</v>
      </c>
      <c r="C1232" s="30">
        <v>71.88</v>
      </c>
    </row>
    <row r="1233" spans="1:4">
      <c r="A1233" s="218" t="s">
        <v>1730</v>
      </c>
      <c r="B1233" s="100">
        <v>1</v>
      </c>
      <c r="C1233" s="30">
        <v>11.99</v>
      </c>
    </row>
    <row r="1234" spans="1:4">
      <c r="A1234" s="218" t="s">
        <v>1733</v>
      </c>
      <c r="B1234" s="100">
        <v>2</v>
      </c>
      <c r="C1234" s="30">
        <v>5.98</v>
      </c>
    </row>
    <row r="1235" spans="1:4">
      <c r="A1235" s="776" t="s">
        <v>238</v>
      </c>
      <c r="B1235" s="776"/>
      <c r="C1235" s="607">
        <f>SUM(C1230:C1234)</f>
        <v>368.30000000000007</v>
      </c>
    </row>
    <row r="1237" spans="1:4">
      <c r="A1237" s="218" t="s">
        <v>1736</v>
      </c>
      <c r="B1237" s="101" t="s">
        <v>1060</v>
      </c>
      <c r="C1237" s="101" t="s">
        <v>1738</v>
      </c>
    </row>
    <row r="1238" spans="1:4">
      <c r="A1238" s="218" t="s">
        <v>1737</v>
      </c>
      <c r="B1238" s="100" t="s">
        <v>399</v>
      </c>
      <c r="C1238" s="30">
        <v>927</v>
      </c>
      <c r="D1238" s="14" t="s">
        <v>1776</v>
      </c>
    </row>
    <row r="1240" spans="1:4">
      <c r="A1240" s="218" t="s">
        <v>1739</v>
      </c>
      <c r="B1240" s="101" t="s">
        <v>1060</v>
      </c>
      <c r="C1240" s="101" t="s">
        <v>1740</v>
      </c>
    </row>
    <row r="1241" spans="1:4">
      <c r="A1241" s="218" t="s">
        <v>1741</v>
      </c>
      <c r="B1241" s="100">
        <v>3</v>
      </c>
      <c r="C1241" s="30">
        <v>870</v>
      </c>
    </row>
    <row r="1242" spans="1:4" ht="15" thickBot="1">
      <c r="C1242" s="1" t="s">
        <v>1742</v>
      </c>
    </row>
    <row r="1243" spans="1:4" ht="15" thickBot="1">
      <c r="A1243" s="547" t="s">
        <v>1743</v>
      </c>
      <c r="B1243" s="548" t="s">
        <v>1541</v>
      </c>
      <c r="C1243" s="797" t="s">
        <v>346</v>
      </c>
      <c r="D1243" s="797"/>
    </row>
    <row r="1244" spans="1:4">
      <c r="A1244" s="544" t="s">
        <v>319</v>
      </c>
      <c r="B1244" s="545" t="s">
        <v>33</v>
      </c>
      <c r="C1244" s="483" t="s">
        <v>1538</v>
      </c>
      <c r="D1244" s="483" t="s">
        <v>1230</v>
      </c>
    </row>
    <row r="1245" spans="1:4">
      <c r="A1245" s="94" t="s">
        <v>1073</v>
      </c>
      <c r="B1245" s="100" t="s">
        <v>323</v>
      </c>
      <c r="C1245" s="30">
        <v>6.35</v>
      </c>
      <c r="D1245" s="16" t="s">
        <v>1746</v>
      </c>
    </row>
    <row r="1246" spans="1:4">
      <c r="A1246" s="94" t="s">
        <v>326</v>
      </c>
      <c r="B1246" s="100" t="s">
        <v>327</v>
      </c>
      <c r="C1246" s="114">
        <v>6.19</v>
      </c>
      <c r="D1246" s="16" t="s">
        <v>1744</v>
      </c>
    </row>
    <row r="1247" spans="1:4">
      <c r="A1247" s="617" t="s">
        <v>330</v>
      </c>
      <c r="B1247" s="618" t="s">
        <v>331</v>
      </c>
      <c r="C1247" s="619"/>
      <c r="D1247" s="620" t="s">
        <v>1747</v>
      </c>
    </row>
    <row r="1248" spans="1:4">
      <c r="A1248" s="94" t="s">
        <v>334</v>
      </c>
      <c r="B1248" s="100" t="s">
        <v>335</v>
      </c>
      <c r="C1248" s="30">
        <v>6.33</v>
      </c>
      <c r="D1248" s="16" t="s">
        <v>1745</v>
      </c>
    </row>
    <row r="1249" spans="1:5">
      <c r="A1249" s="3" t="s">
        <v>1542</v>
      </c>
      <c r="B1249" s="100" t="s">
        <v>1543</v>
      </c>
      <c r="C1249" s="30">
        <v>6.45</v>
      </c>
      <c r="D1249" s="16" t="s">
        <v>813</v>
      </c>
      <c r="E1249" s="621">
        <v>6.25</v>
      </c>
    </row>
    <row r="1251" spans="1:5">
      <c r="A1251" s="218" t="s">
        <v>1748</v>
      </c>
      <c r="B1251" s="101" t="s">
        <v>1060</v>
      </c>
      <c r="C1251" s="101" t="s">
        <v>1740</v>
      </c>
      <c r="D1251" t="s">
        <v>627</v>
      </c>
    </row>
    <row r="1252" spans="1:5">
      <c r="A1252" s="218" t="s">
        <v>1741</v>
      </c>
      <c r="B1252" s="100">
        <v>1</v>
      </c>
      <c r="C1252" s="30"/>
    </row>
    <row r="1254" spans="1:5">
      <c r="A1254" s="330" t="s">
        <v>1226</v>
      </c>
      <c r="B1254" s="530" t="s">
        <v>1749</v>
      </c>
      <c r="C1254" s="530" t="s">
        <v>1228</v>
      </c>
    </row>
    <row r="1255" spans="1:5">
      <c r="A1255" s="3" t="s">
        <v>1755</v>
      </c>
      <c r="B1255" s="30">
        <v>1575</v>
      </c>
      <c r="C1255" s="16" t="s">
        <v>1754</v>
      </c>
      <c r="D1255" s="14"/>
    </row>
    <row r="1256" spans="1:5">
      <c r="A1256" s="3" t="s">
        <v>1752</v>
      </c>
      <c r="B1256" s="116">
        <v>1829.99</v>
      </c>
      <c r="C1256" s="100" t="s">
        <v>1750</v>
      </c>
    </row>
    <row r="1257" spans="1:5">
      <c r="A1257" s="3" t="s">
        <v>1753</v>
      </c>
      <c r="B1257" s="30">
        <v>1629.999</v>
      </c>
      <c r="C1257" s="100" t="s">
        <v>1751</v>
      </c>
    </row>
    <row r="1258" spans="1:5">
      <c r="A1258" s="3" t="s">
        <v>1246</v>
      </c>
      <c r="B1258" s="16"/>
      <c r="C1258" s="16"/>
    </row>
    <row r="1259" spans="1:5">
      <c r="A1259" s="3" t="s">
        <v>1756</v>
      </c>
      <c r="B1259" s="116">
        <v>2035</v>
      </c>
      <c r="C1259" s="16" t="s">
        <v>1757</v>
      </c>
    </row>
    <row r="1261" spans="1:5">
      <c r="A1261" s="554" t="s">
        <v>1775</v>
      </c>
      <c r="B1261" s="101" t="s">
        <v>1060</v>
      </c>
      <c r="C1261" s="101" t="s">
        <v>1760</v>
      </c>
    </row>
    <row r="1262" spans="1:5">
      <c r="A1262" s="554" t="s">
        <v>490</v>
      </c>
      <c r="B1262" s="100">
        <v>10</v>
      </c>
      <c r="C1262" s="30">
        <v>3612.3</v>
      </c>
      <c r="D1262" s="215">
        <f>C1262/B1262</f>
        <v>361.23</v>
      </c>
    </row>
    <row r="1263" spans="1:5">
      <c r="A1263" s="554" t="s">
        <v>1758</v>
      </c>
      <c r="B1263" s="100">
        <v>10</v>
      </c>
      <c r="C1263" s="30">
        <v>3528</v>
      </c>
      <c r="D1263" s="215">
        <f>C1263/B1263</f>
        <v>352.8</v>
      </c>
    </row>
    <row r="1264" spans="1:5">
      <c r="A1264" s="554">
        <v>90</v>
      </c>
      <c r="B1264" s="100">
        <v>2</v>
      </c>
      <c r="C1264" s="30">
        <v>803.72</v>
      </c>
      <c r="D1264" s="215">
        <f t="shared" ref="D1264:D1265" si="14">C1264/B1264</f>
        <v>401.86</v>
      </c>
    </row>
    <row r="1265" spans="1:6">
      <c r="A1265" s="554" t="s">
        <v>1759</v>
      </c>
      <c r="B1265" s="100">
        <v>4</v>
      </c>
      <c r="C1265" s="30">
        <v>1551.8</v>
      </c>
      <c r="D1265" s="215">
        <f t="shared" si="14"/>
        <v>387.95</v>
      </c>
    </row>
    <row r="1266" spans="1:6">
      <c r="A1266" s="796" t="s">
        <v>238</v>
      </c>
      <c r="B1266" s="796"/>
      <c r="C1266" s="219">
        <f>SUM(C1262:C1265)</f>
        <v>9495.82</v>
      </c>
    </row>
    <row r="1267" spans="1:6">
      <c r="C1267" s="215"/>
    </row>
    <row r="1268" spans="1:6">
      <c r="A1268" s="554" t="s">
        <v>1761</v>
      </c>
      <c r="B1268" s="101" t="s">
        <v>1371</v>
      </c>
    </row>
    <row r="1269" spans="1:6">
      <c r="A1269" s="554" t="s">
        <v>1758</v>
      </c>
      <c r="B1269" s="30">
        <v>3510.89</v>
      </c>
    </row>
    <row r="1270" spans="1:6">
      <c r="A1270" s="554" t="s">
        <v>490</v>
      </c>
      <c r="B1270" s="30">
        <v>3553.46</v>
      </c>
    </row>
    <row r="1272" spans="1:6">
      <c r="A1272" s="797" t="s">
        <v>1772</v>
      </c>
      <c r="B1272" s="797"/>
      <c r="C1272" s="797"/>
    </row>
    <row r="1273" spans="1:6">
      <c r="A1273" s="555" t="s">
        <v>1771</v>
      </c>
      <c r="B1273" s="101" t="s">
        <v>190</v>
      </c>
      <c r="C1273" s="556" t="s">
        <v>238</v>
      </c>
      <c r="F1273" s="72"/>
    </row>
    <row r="1274" spans="1:6">
      <c r="A1274" s="3" t="s">
        <v>1780</v>
      </c>
      <c r="B1274" s="278" t="s">
        <v>1777</v>
      </c>
      <c r="C1274" s="613">
        <v>1428</v>
      </c>
      <c r="D1274" s="199"/>
      <c r="E1274" s="339"/>
      <c r="F1274" s="339"/>
    </row>
    <row r="1275" spans="1:6">
      <c r="A1275" s="3" t="s">
        <v>1783</v>
      </c>
      <c r="B1275" s="278" t="s">
        <v>1777</v>
      </c>
      <c r="C1275" s="613">
        <f>142.5*6</f>
        <v>855</v>
      </c>
      <c r="D1275" s="199"/>
      <c r="E1275" s="339"/>
      <c r="F1275" s="339"/>
    </row>
    <row r="1276" spans="1:6">
      <c r="A1276" s="3" t="s">
        <v>1779</v>
      </c>
      <c r="B1276" s="278" t="s">
        <v>1781</v>
      </c>
      <c r="C1276" s="613">
        <v>1677.81</v>
      </c>
      <c r="D1276" s="48"/>
      <c r="E1276" s="48"/>
      <c r="F1276" s="48"/>
    </row>
    <row r="1277" spans="1:6">
      <c r="A1277" s="3" t="s">
        <v>1774</v>
      </c>
      <c r="B1277" s="84" t="s">
        <v>1773</v>
      </c>
      <c r="C1277" s="613">
        <v>941.16</v>
      </c>
      <c r="D1277" s="623"/>
      <c r="E1277" s="48"/>
      <c r="F1277" s="48"/>
    </row>
    <row r="1278" spans="1:6">
      <c r="A1278" s="3" t="s">
        <v>1778</v>
      </c>
      <c r="B1278" s="84" t="s">
        <v>1782</v>
      </c>
      <c r="C1278" s="352">
        <f>90*13</f>
        <v>1170</v>
      </c>
    </row>
    <row r="1280" spans="1:6">
      <c r="A1280" s="218" t="s">
        <v>1785</v>
      </c>
      <c r="B1280" s="101" t="s">
        <v>190</v>
      </c>
      <c r="C1280" s="101" t="s">
        <v>1788</v>
      </c>
      <c r="D1280" s="101" t="s">
        <v>948</v>
      </c>
    </row>
    <row r="1281" spans="1:5">
      <c r="A1281" s="101" t="s">
        <v>1784</v>
      </c>
      <c r="B1281" s="16" t="s">
        <v>1786</v>
      </c>
      <c r="C1281" s="30">
        <v>1980</v>
      </c>
      <c r="D1281" s="30">
        <v>2070</v>
      </c>
    </row>
    <row r="1282" spans="1:5">
      <c r="A1282" s="101" t="s">
        <v>1784</v>
      </c>
      <c r="B1282" s="16" t="s">
        <v>1787</v>
      </c>
      <c r="C1282" s="30">
        <v>3516</v>
      </c>
      <c r="D1282" s="30">
        <v>3676</v>
      </c>
    </row>
    <row r="1283" spans="1:5">
      <c r="A1283" s="101" t="s">
        <v>1789</v>
      </c>
      <c r="B1283" s="16" t="s">
        <v>1794</v>
      </c>
      <c r="C1283" s="16"/>
      <c r="D1283" s="30">
        <v>1330</v>
      </c>
      <c r="E1283" t="s">
        <v>1790</v>
      </c>
    </row>
    <row r="1284" spans="1:5">
      <c r="A1284" s="101" t="s">
        <v>1343</v>
      </c>
      <c r="B1284" s="16"/>
      <c r="C1284" s="16"/>
      <c r="D1284" s="30"/>
    </row>
    <row r="1285" spans="1:5">
      <c r="C1285" s="49"/>
      <c r="D1285" s="49"/>
    </row>
    <row r="1286" spans="1:5">
      <c r="A1286" s="101" t="s">
        <v>1791</v>
      </c>
      <c r="B1286" s="16" t="s">
        <v>881</v>
      </c>
      <c r="C1286" s="118" t="s">
        <v>1808</v>
      </c>
      <c r="D1286" s="118"/>
    </row>
    <row r="1287" spans="1:5">
      <c r="A1287" s="101" t="s">
        <v>1792</v>
      </c>
      <c r="B1287" s="16"/>
    </row>
    <row r="1289" spans="1:5">
      <c r="A1289" s="101" t="s">
        <v>1791</v>
      </c>
      <c r="B1289" s="530" t="s">
        <v>1711</v>
      </c>
      <c r="C1289" s="101" t="s">
        <v>1811</v>
      </c>
    </row>
    <row r="1290" spans="1:5">
      <c r="A1290" s="101" t="s">
        <v>1793</v>
      </c>
      <c r="B1290" s="30">
        <v>648</v>
      </c>
      <c r="C1290" s="30">
        <v>360</v>
      </c>
    </row>
    <row r="1292" spans="1:5">
      <c r="A1292" s="101" t="s">
        <v>1795</v>
      </c>
      <c r="B1292" s="218" t="s">
        <v>1796</v>
      </c>
    </row>
    <row r="1293" spans="1:5">
      <c r="A1293" s="101" t="s">
        <v>1798</v>
      </c>
      <c r="B1293" s="30">
        <v>470</v>
      </c>
    </row>
    <row r="1294" spans="1:5">
      <c r="A1294" s="101" t="s">
        <v>1799</v>
      </c>
      <c r="B1294" s="30">
        <v>285</v>
      </c>
      <c r="C1294" s="57">
        <f>285*2+99.9</f>
        <v>669.9</v>
      </c>
    </row>
    <row r="1295" spans="1:5">
      <c r="A1295" s="101" t="s">
        <v>1800</v>
      </c>
      <c r="B1295" s="30">
        <v>450</v>
      </c>
    </row>
    <row r="1296" spans="1:5">
      <c r="A1296" s="101" t="s">
        <v>1801</v>
      </c>
      <c r="B1296" s="30">
        <v>584</v>
      </c>
    </row>
    <row r="1297" spans="1:4">
      <c r="A1297" s="101" t="s">
        <v>1802</v>
      </c>
      <c r="B1297" s="116">
        <v>589</v>
      </c>
    </row>
    <row r="1298" spans="1:4">
      <c r="A1298" s="101" t="s">
        <v>1803</v>
      </c>
      <c r="B1298" s="116">
        <v>531</v>
      </c>
    </row>
    <row r="1299" spans="1:4">
      <c r="A1299" s="101" t="s">
        <v>1804</v>
      </c>
      <c r="B1299" s="116">
        <v>518</v>
      </c>
    </row>
    <row r="1300" spans="1:4">
      <c r="A1300" s="101" t="s">
        <v>1805</v>
      </c>
      <c r="B1300" s="116">
        <v>607</v>
      </c>
    </row>
    <row r="1301" spans="1:4">
      <c r="A1301" s="72"/>
    </row>
    <row r="1303" spans="1:4">
      <c r="A1303" s="101" t="s">
        <v>1809</v>
      </c>
      <c r="B1303" s="101" t="s">
        <v>1060</v>
      </c>
      <c r="C1303" s="101" t="s">
        <v>238</v>
      </c>
    </row>
    <row r="1304" spans="1:4">
      <c r="A1304" s="16" t="s">
        <v>1797</v>
      </c>
      <c r="B1304" s="100">
        <v>1680</v>
      </c>
      <c r="C1304" s="30">
        <v>6619.2</v>
      </c>
    </row>
    <row r="1306" spans="1:4">
      <c r="A1306" s="218" t="s">
        <v>1806</v>
      </c>
      <c r="B1306" s="101" t="s">
        <v>757</v>
      </c>
      <c r="C1306" s="101" t="s">
        <v>884</v>
      </c>
      <c r="D1306" s="101" t="s">
        <v>1807</v>
      </c>
    </row>
    <row r="1307" spans="1:4">
      <c r="A1307" s="81" t="s">
        <v>756</v>
      </c>
      <c r="B1307" s="30">
        <v>2200</v>
      </c>
      <c r="C1307" s="30">
        <f>265.73*2</f>
        <v>531.46</v>
      </c>
      <c r="D1307" s="30">
        <f>235.1*2</f>
        <v>470.2</v>
      </c>
    </row>
    <row r="1309" spans="1:4">
      <c r="A1309" s="218" t="s">
        <v>1810</v>
      </c>
      <c r="B1309" s="16"/>
      <c r="C1309" s="16"/>
      <c r="D1309" s="215"/>
    </row>
    <row r="1310" spans="1:4">
      <c r="A1310" s="16" t="s">
        <v>1013</v>
      </c>
      <c r="B1310" s="16"/>
      <c r="C1310" s="16"/>
    </row>
    <row r="1312" spans="1:4">
      <c r="A1312" s="84" t="s">
        <v>1812</v>
      </c>
      <c r="B1312" s="3" t="s">
        <v>221</v>
      </c>
      <c r="D1312" s="84"/>
    </row>
    <row r="1313" spans="1:7" ht="15.6">
      <c r="A1313" s="627" t="s">
        <v>1815</v>
      </c>
      <c r="B1313" s="100">
        <v>1</v>
      </c>
      <c r="D1313" s="626"/>
      <c r="E1313" s="630"/>
    </row>
    <row r="1314" spans="1:7" ht="15.6">
      <c r="A1314" s="627" t="s">
        <v>1816</v>
      </c>
      <c r="B1314" s="100">
        <v>1</v>
      </c>
      <c r="D1314" s="626"/>
      <c r="E1314" s="630"/>
    </row>
    <row r="1315" spans="1:7" ht="15.6">
      <c r="A1315" s="627" t="s">
        <v>1817</v>
      </c>
      <c r="B1315" s="100">
        <v>2</v>
      </c>
      <c r="D1315" s="626"/>
      <c r="E1315" s="630"/>
    </row>
    <row r="1316" spans="1:7" ht="15.6">
      <c r="A1316" s="628" t="s">
        <v>1813</v>
      </c>
      <c r="B1316" s="100">
        <v>1</v>
      </c>
      <c r="D1316" s="626"/>
      <c r="E1316" s="630"/>
    </row>
    <row r="1317" spans="1:7" ht="15.6">
      <c r="A1317" s="627" t="s">
        <v>1818</v>
      </c>
      <c r="B1317" s="100">
        <v>10</v>
      </c>
      <c r="D1317" s="626"/>
      <c r="E1317" s="630"/>
    </row>
    <row r="1318" spans="1:7" ht="15.6">
      <c r="A1318" s="627" t="s">
        <v>1819</v>
      </c>
      <c r="B1318" s="100">
        <v>10</v>
      </c>
      <c r="D1318" s="626"/>
      <c r="E1318" s="630"/>
    </row>
    <row r="1319" spans="1:7" ht="15.6">
      <c r="A1319" s="627" t="s">
        <v>1820</v>
      </c>
      <c r="B1319" s="100">
        <v>21</v>
      </c>
      <c r="D1319" s="626"/>
      <c r="E1319" s="630"/>
    </row>
    <row r="1320" spans="1:7" ht="15.6">
      <c r="A1320" s="627" t="s">
        <v>1821</v>
      </c>
      <c r="B1320" s="100">
        <v>62</v>
      </c>
      <c r="D1320" s="626"/>
      <c r="E1320" s="630"/>
    </row>
    <row r="1321" spans="1:7" ht="15.6">
      <c r="A1321" s="629" t="s">
        <v>1822</v>
      </c>
      <c r="B1321" s="100">
        <v>62</v>
      </c>
      <c r="D1321" s="624"/>
      <c r="E1321" s="625"/>
    </row>
    <row r="1322" spans="1:7" ht="15.6">
      <c r="A1322" s="627" t="s">
        <v>1823</v>
      </c>
      <c r="B1322" s="100">
        <v>62</v>
      </c>
      <c r="D1322" s="626"/>
      <c r="E1322" s="630"/>
    </row>
    <row r="1323" spans="1:7" ht="15.6">
      <c r="A1323" s="627" t="s">
        <v>1824</v>
      </c>
      <c r="B1323" s="100">
        <v>4</v>
      </c>
      <c r="D1323" s="626"/>
      <c r="E1323" s="630"/>
    </row>
    <row r="1324" spans="1:7" ht="15.6">
      <c r="A1324" s="628" t="s">
        <v>1814</v>
      </c>
      <c r="B1324" s="100">
        <v>5</v>
      </c>
      <c r="D1324" s="626"/>
      <c r="E1324" s="630"/>
    </row>
    <row r="1325" spans="1:7" ht="15.6">
      <c r="D1325" s="626"/>
      <c r="E1325" s="630"/>
    </row>
    <row r="1326" spans="1:7" ht="15.6">
      <c r="A1326" s="530" t="s">
        <v>1825</v>
      </c>
      <c r="B1326" s="530" t="s">
        <v>1060</v>
      </c>
      <c r="C1326" s="530" t="s">
        <v>55</v>
      </c>
      <c r="D1326" s="626"/>
      <c r="E1326" s="530" t="s">
        <v>1826</v>
      </c>
      <c r="F1326" s="530" t="s">
        <v>1060</v>
      </c>
      <c r="G1326" s="530" t="s">
        <v>55</v>
      </c>
    </row>
    <row r="1327" spans="1:7" ht="15.6">
      <c r="A1327" s="632" t="s">
        <v>1829</v>
      </c>
      <c r="B1327" s="100">
        <v>10</v>
      </c>
      <c r="C1327" s="114">
        <v>4650</v>
      </c>
      <c r="E1327" s="632" t="s">
        <v>1840</v>
      </c>
      <c r="F1327" s="633">
        <v>20</v>
      </c>
      <c r="G1327" s="30">
        <f>2*3135.86</f>
        <v>6271.72</v>
      </c>
    </row>
    <row r="1328" spans="1:7" ht="15.6">
      <c r="A1328" s="632" t="s">
        <v>1830</v>
      </c>
      <c r="B1328" s="100">
        <v>10</v>
      </c>
      <c r="C1328" s="114">
        <v>4650</v>
      </c>
      <c r="E1328" s="632" t="s">
        <v>1840</v>
      </c>
      <c r="F1328" s="633">
        <v>40</v>
      </c>
      <c r="G1328" s="30">
        <v>12543.45</v>
      </c>
    </row>
    <row r="1329" spans="1:7" ht="15.6">
      <c r="A1329" s="632" t="s">
        <v>1831</v>
      </c>
      <c r="B1329" s="100">
        <v>1</v>
      </c>
      <c r="C1329" s="114">
        <v>22210</v>
      </c>
      <c r="E1329" s="632" t="s">
        <v>1841</v>
      </c>
      <c r="F1329" s="633">
        <v>40</v>
      </c>
      <c r="G1329" s="30">
        <f>2*712.4</f>
        <v>1424.8</v>
      </c>
    </row>
    <row r="1330" spans="1:7" ht="15.6">
      <c r="A1330" s="632" t="s">
        <v>1832</v>
      </c>
      <c r="B1330" s="100">
        <v>21</v>
      </c>
      <c r="C1330" s="114">
        <v>3549</v>
      </c>
      <c r="E1330" s="632" t="s">
        <v>1842</v>
      </c>
      <c r="F1330" s="633">
        <v>40</v>
      </c>
      <c r="G1330" s="30">
        <f>2*43.75</f>
        <v>87.5</v>
      </c>
    </row>
    <row r="1331" spans="1:7" ht="15.6">
      <c r="A1331" s="632" t="s">
        <v>1828</v>
      </c>
      <c r="B1331" s="100">
        <v>10</v>
      </c>
      <c r="C1331" s="30">
        <v>1200</v>
      </c>
      <c r="E1331" s="632" t="s">
        <v>1843</v>
      </c>
      <c r="F1331" s="633">
        <v>40</v>
      </c>
      <c r="G1331" s="30">
        <f>2*135.22</f>
        <v>270.44</v>
      </c>
    </row>
    <row r="1332" spans="1:7" ht="15.6">
      <c r="A1332" s="632" t="s">
        <v>1827</v>
      </c>
      <c r="B1332" s="100">
        <v>10</v>
      </c>
      <c r="C1332" s="30">
        <v>1200</v>
      </c>
      <c r="E1332" s="632" t="s">
        <v>1841</v>
      </c>
      <c r="F1332" s="633">
        <v>40</v>
      </c>
      <c r="G1332" s="30">
        <f>2*712.4</f>
        <v>1424.8</v>
      </c>
    </row>
    <row r="1333" spans="1:7" ht="15.6">
      <c r="A1333" s="632" t="s">
        <v>1833</v>
      </c>
      <c r="B1333" s="100">
        <v>62</v>
      </c>
      <c r="C1333" s="114">
        <v>177.32</v>
      </c>
      <c r="E1333" s="632" t="s">
        <v>1844</v>
      </c>
      <c r="F1333" s="633">
        <v>20</v>
      </c>
      <c r="G1333" s="30">
        <f>2*92.41</f>
        <v>184.82</v>
      </c>
    </row>
    <row r="1334" spans="1:7" ht="15.6">
      <c r="A1334" s="632" t="s">
        <v>1834</v>
      </c>
      <c r="B1334" s="100">
        <v>62</v>
      </c>
      <c r="C1334" s="30">
        <v>61.38</v>
      </c>
      <c r="E1334" s="632" t="s">
        <v>1845</v>
      </c>
      <c r="F1334" s="633">
        <v>20</v>
      </c>
      <c r="G1334" s="30">
        <f>2*43.95</f>
        <v>87.9</v>
      </c>
    </row>
    <row r="1335" spans="1:7" ht="15.6">
      <c r="A1335" s="632" t="s">
        <v>1835</v>
      </c>
      <c r="B1335" s="100">
        <v>62</v>
      </c>
      <c r="C1335" s="30">
        <v>322.39999999999998</v>
      </c>
      <c r="E1335" s="632" t="s">
        <v>1846</v>
      </c>
      <c r="F1335" s="633">
        <v>20</v>
      </c>
      <c r="G1335" s="30">
        <f>2*104.27</f>
        <v>208.54</v>
      </c>
    </row>
    <row r="1336" spans="1:7" ht="15.6">
      <c r="A1336" s="632" t="s">
        <v>1836</v>
      </c>
      <c r="B1336" s="100">
        <v>1</v>
      </c>
      <c r="C1336" s="30">
        <v>1500</v>
      </c>
      <c r="E1336" s="632" t="s">
        <v>1847</v>
      </c>
      <c r="F1336" s="633">
        <v>20</v>
      </c>
      <c r="G1336" s="30">
        <f>2*18.45</f>
        <v>36.9</v>
      </c>
    </row>
    <row r="1337" spans="1:7" ht="15.6">
      <c r="A1337" s="632" t="s">
        <v>1837</v>
      </c>
      <c r="B1337" s="100">
        <v>1</v>
      </c>
      <c r="C1337" s="30">
        <v>1765</v>
      </c>
      <c r="E1337" s="634" t="s">
        <v>1848</v>
      </c>
      <c r="F1337" s="635">
        <v>20</v>
      </c>
      <c r="G1337" s="30">
        <v>5596.54</v>
      </c>
    </row>
    <row r="1338" spans="1:7" ht="15.6">
      <c r="A1338" s="632" t="s">
        <v>1838</v>
      </c>
      <c r="B1338" s="100">
        <v>2</v>
      </c>
      <c r="C1338" s="30">
        <v>7750</v>
      </c>
      <c r="E1338" s="632" t="s">
        <v>1849</v>
      </c>
      <c r="F1338" s="633">
        <v>10</v>
      </c>
      <c r="G1338" s="30">
        <v>5697.09</v>
      </c>
    </row>
    <row r="1339" spans="1:7" ht="15.6">
      <c r="A1339" s="632" t="s">
        <v>1839</v>
      </c>
      <c r="B1339" s="100">
        <v>4</v>
      </c>
      <c r="C1339" s="30">
        <v>1200</v>
      </c>
      <c r="E1339" s="632" t="s">
        <v>1850</v>
      </c>
      <c r="F1339" s="633">
        <v>10</v>
      </c>
      <c r="G1339" s="30">
        <v>5654.51</v>
      </c>
    </row>
    <row r="1340" spans="1:7" ht="15.6">
      <c r="A1340" s="752" t="s">
        <v>238</v>
      </c>
      <c r="B1340" s="753"/>
      <c r="C1340" s="219">
        <f>SUM(C1327:C1339)</f>
        <v>50235.1</v>
      </c>
      <c r="E1340" s="632" t="s">
        <v>1851</v>
      </c>
      <c r="F1340" s="633">
        <v>10</v>
      </c>
      <c r="G1340" s="30">
        <v>1897.83</v>
      </c>
    </row>
    <row r="1341" spans="1:7" ht="15.6">
      <c r="E1341" s="632" t="s">
        <v>1852</v>
      </c>
      <c r="F1341" s="633">
        <v>10</v>
      </c>
      <c r="G1341" s="30">
        <v>1863.64</v>
      </c>
    </row>
    <row r="1342" spans="1:7" ht="15.6">
      <c r="A1342" s="16"/>
      <c r="E1342" s="632" t="s">
        <v>1853</v>
      </c>
      <c r="F1342" s="633">
        <v>1</v>
      </c>
      <c r="G1342" s="30">
        <v>175.81</v>
      </c>
    </row>
    <row r="1343" spans="1:7" ht="15.6">
      <c r="A1343" s="626"/>
      <c r="B1343" s="631"/>
      <c r="C1343" s="49"/>
      <c r="E1343" s="632" t="s">
        <v>1854</v>
      </c>
      <c r="F1343" s="633">
        <v>1</v>
      </c>
      <c r="G1343" s="30">
        <v>284.58</v>
      </c>
    </row>
    <row r="1344" spans="1:7" ht="15.6">
      <c r="A1344" s="626"/>
      <c r="B1344" s="631"/>
      <c r="C1344" s="49"/>
      <c r="E1344" s="632" t="s">
        <v>1847</v>
      </c>
      <c r="F1344" s="100">
        <v>10</v>
      </c>
      <c r="G1344" s="219">
        <v>18.45</v>
      </c>
    </row>
    <row r="1345" spans="1:7" ht="15.6">
      <c r="A1345" s="626"/>
      <c r="B1345" s="631"/>
      <c r="C1345" s="49"/>
      <c r="E1345" s="898" t="s">
        <v>238</v>
      </c>
      <c r="F1345" s="898"/>
      <c r="G1345" s="219">
        <f>SUM(G1327:G1344)</f>
        <v>43729.32</v>
      </c>
    </row>
    <row r="1346" spans="1:7" ht="15.6">
      <c r="A1346" s="626"/>
      <c r="B1346" s="631"/>
      <c r="C1346" s="49"/>
    </row>
    <row r="1347" spans="1:7">
      <c r="A1347" s="218" t="s">
        <v>1855</v>
      </c>
      <c r="B1347" s="101" t="s">
        <v>164</v>
      </c>
      <c r="C1347" s="101" t="s">
        <v>161</v>
      </c>
      <c r="D1347" s="101" t="s">
        <v>1856</v>
      </c>
      <c r="E1347" s="101" t="s">
        <v>1857</v>
      </c>
      <c r="F1347" s="101" t="s">
        <v>1526</v>
      </c>
      <c r="G1347" s="101" t="s">
        <v>227</v>
      </c>
    </row>
    <row r="1348" spans="1:7">
      <c r="A1348" s="218" t="s">
        <v>1862</v>
      </c>
      <c r="B1348" s="30">
        <v>802.5</v>
      </c>
      <c r="C1348" s="30">
        <v>1233.8</v>
      </c>
      <c r="D1348" s="30">
        <v>991.5</v>
      </c>
      <c r="E1348" s="30">
        <v>736.5</v>
      </c>
      <c r="F1348" s="30">
        <v>389.85</v>
      </c>
      <c r="G1348" s="30">
        <v>1887.96</v>
      </c>
    </row>
    <row r="1349" spans="1:7">
      <c r="A1349" s="808" t="s">
        <v>190</v>
      </c>
      <c r="B1349" s="798"/>
      <c r="C1349" s="785" t="s">
        <v>1863</v>
      </c>
      <c r="D1349" s="785" t="s">
        <v>1859</v>
      </c>
      <c r="E1349" s="100" t="s">
        <v>1860</v>
      </c>
      <c r="F1349" s="785" t="s">
        <v>1858</v>
      </c>
      <c r="G1349" s="785" t="s">
        <v>1861</v>
      </c>
    </row>
    <row r="1350" spans="1:7">
      <c r="A1350" s="808"/>
      <c r="B1350" s="798"/>
      <c r="C1350" s="785"/>
      <c r="D1350" s="785"/>
      <c r="E1350" s="30"/>
      <c r="F1350" s="785"/>
      <c r="G1350" s="785"/>
    </row>
    <row r="1351" spans="1:7" ht="15.6">
      <c r="A1351" s="626"/>
      <c r="B1351" s="631"/>
      <c r="C1351" s="49"/>
    </row>
    <row r="1352" spans="1:7">
      <c r="A1352" s="640" t="s">
        <v>1864</v>
      </c>
      <c r="B1352" s="641" t="s">
        <v>190</v>
      </c>
      <c r="C1352" s="642" t="s">
        <v>55</v>
      </c>
      <c r="D1352" s="638"/>
      <c r="E1352" s="638"/>
      <c r="F1352" s="638"/>
      <c r="G1352" s="638"/>
    </row>
    <row r="1353" spans="1:7">
      <c r="A1353" s="643" t="s">
        <v>161</v>
      </c>
      <c r="B1353" s="644" t="s">
        <v>1865</v>
      </c>
      <c r="C1353" s="645">
        <v>438.57</v>
      </c>
      <c r="D1353" s="638"/>
      <c r="E1353" s="638"/>
      <c r="F1353" s="638"/>
      <c r="G1353" s="638"/>
    </row>
    <row r="1354" spans="1:7">
      <c r="A1354" s="646" t="s">
        <v>1371</v>
      </c>
      <c r="B1354" s="647" t="s">
        <v>1866</v>
      </c>
      <c r="C1354" s="645">
        <v>3782.93</v>
      </c>
      <c r="D1354" s="638"/>
      <c r="E1354" s="638"/>
      <c r="F1354" s="638"/>
      <c r="G1354" s="638"/>
    </row>
    <row r="1355" spans="1:7">
      <c r="A1355" s="646" t="s">
        <v>187</v>
      </c>
      <c r="B1355" s="647" t="s">
        <v>1867</v>
      </c>
      <c r="C1355" s="645">
        <v>4890</v>
      </c>
      <c r="D1355" s="638"/>
      <c r="E1355" s="638"/>
      <c r="F1355" s="638"/>
      <c r="G1355" s="638"/>
    </row>
    <row r="1356" spans="1:7">
      <c r="A1356" s="646" t="s">
        <v>187</v>
      </c>
      <c r="B1356" s="647" t="s">
        <v>1868</v>
      </c>
      <c r="C1356" s="645">
        <v>6450</v>
      </c>
      <c r="D1356" s="638"/>
      <c r="E1356" s="638"/>
      <c r="F1356" s="638"/>
      <c r="G1356" s="638"/>
    </row>
    <row r="1357" spans="1:7">
      <c r="A1357" s="646" t="s">
        <v>187</v>
      </c>
      <c r="B1357" s="647" t="s">
        <v>1869</v>
      </c>
      <c r="C1357" s="645">
        <v>4690</v>
      </c>
      <c r="D1357" s="638"/>
      <c r="E1357" s="638"/>
      <c r="F1357" s="638"/>
      <c r="G1357" s="638"/>
    </row>
    <row r="1358" spans="1:7">
      <c r="A1358" s="646" t="s">
        <v>1936</v>
      </c>
      <c r="B1358" s="647" t="s">
        <v>1937</v>
      </c>
      <c r="C1358" s="645">
        <v>4650</v>
      </c>
      <c r="D1358" s="638"/>
      <c r="E1358" s="638"/>
      <c r="F1358" s="638"/>
      <c r="G1358" s="638"/>
    </row>
    <row r="1359" spans="1:7">
      <c r="A1359" s="646" t="s">
        <v>1371</v>
      </c>
      <c r="B1359" s="647" t="s">
        <v>1953</v>
      </c>
      <c r="C1359" s="657"/>
      <c r="D1359" s="638"/>
      <c r="E1359" s="638"/>
      <c r="F1359" s="638"/>
      <c r="G1359" s="638"/>
    </row>
    <row r="1360" spans="1:7" ht="15.6">
      <c r="A1360" s="636"/>
      <c r="B1360" s="639"/>
      <c r="C1360" s="637"/>
      <c r="D1360" s="638"/>
      <c r="E1360" s="638"/>
      <c r="F1360" s="638"/>
      <c r="G1360" s="638"/>
    </row>
    <row r="1361" spans="1:7">
      <c r="A1361" s="653" t="s">
        <v>1871</v>
      </c>
      <c r="B1361" s="654" t="s">
        <v>1872</v>
      </c>
      <c r="E1361" s="638"/>
      <c r="F1361" s="638"/>
      <c r="G1361" s="638"/>
    </row>
    <row r="1362" spans="1:7">
      <c r="A1362" s="653" t="s">
        <v>1873</v>
      </c>
      <c r="B1362" s="30">
        <v>2625</v>
      </c>
      <c r="E1362" s="638"/>
      <c r="F1362" s="638"/>
      <c r="G1362" s="638"/>
    </row>
    <row r="1363" spans="1:7">
      <c r="E1363" s="638"/>
      <c r="F1363" s="638"/>
      <c r="G1363" s="638"/>
    </row>
    <row r="1364" spans="1:7" ht="15.6">
      <c r="A1364" s="648" t="s">
        <v>1870</v>
      </c>
      <c r="B1364" s="101" t="s">
        <v>1060</v>
      </c>
      <c r="C1364" s="649"/>
      <c r="D1364" s="650"/>
      <c r="E1364" s="638"/>
      <c r="F1364" s="638"/>
      <c r="G1364" s="638"/>
    </row>
    <row r="1365" spans="1:7">
      <c r="A1365" s="651" t="s">
        <v>1968</v>
      </c>
      <c r="B1365" s="652">
        <v>5</v>
      </c>
      <c r="C1365" s="649"/>
      <c r="D1365" s="649"/>
      <c r="E1365" s="638"/>
      <c r="F1365" s="638"/>
      <c r="G1365" s="638"/>
    </row>
    <row r="1366" spans="1:7" ht="15" thickBot="1">
      <c r="A1366" s="638"/>
      <c r="B1366" s="638"/>
      <c r="C1366" s="638"/>
      <c r="D1366" s="638"/>
      <c r="E1366" s="638"/>
      <c r="F1366" s="638"/>
      <c r="G1366" s="638"/>
    </row>
    <row r="1367" spans="1:7" ht="15" thickBot="1">
      <c r="A1367" s="547" t="s">
        <v>1874</v>
      </c>
      <c r="B1367" s="548" t="s">
        <v>1541</v>
      </c>
      <c r="C1367" s="554" t="s">
        <v>346</v>
      </c>
      <c r="D1367" s="554"/>
      <c r="E1367" s="638"/>
      <c r="F1367" s="638"/>
      <c r="G1367" s="638"/>
    </row>
    <row r="1368" spans="1:7">
      <c r="A1368" s="544" t="s">
        <v>319</v>
      </c>
      <c r="B1368" s="545" t="s">
        <v>33</v>
      </c>
      <c r="C1368" s="483" t="s">
        <v>1538</v>
      </c>
      <c r="D1368" s="483" t="s">
        <v>1230</v>
      </c>
      <c r="E1368" s="638"/>
      <c r="F1368" s="638"/>
      <c r="G1368" s="638"/>
    </row>
    <row r="1369" spans="1:7">
      <c r="A1369" s="94" t="s">
        <v>1073</v>
      </c>
      <c r="B1369" s="100" t="s">
        <v>323</v>
      </c>
      <c r="C1369" s="30">
        <v>6.39</v>
      </c>
      <c r="D1369" s="16" t="s">
        <v>1746</v>
      </c>
      <c r="E1369" s="638"/>
      <c r="F1369" s="638"/>
      <c r="G1369" s="638"/>
    </row>
    <row r="1370" spans="1:7">
      <c r="A1370" s="94" t="s">
        <v>326</v>
      </c>
      <c r="B1370" s="100" t="s">
        <v>327</v>
      </c>
      <c r="C1370" s="114">
        <v>6.39</v>
      </c>
      <c r="D1370" s="16" t="s">
        <v>1744</v>
      </c>
      <c r="E1370" s="638"/>
      <c r="F1370" s="638"/>
      <c r="G1370" s="638"/>
    </row>
    <row r="1371" spans="1:7">
      <c r="A1371" s="94" t="s">
        <v>334</v>
      </c>
      <c r="B1371" s="100" t="s">
        <v>335</v>
      </c>
      <c r="C1371" s="30">
        <v>6.4</v>
      </c>
      <c r="D1371" s="16" t="s">
        <v>1745</v>
      </c>
      <c r="E1371" s="638"/>
      <c r="F1371" s="638"/>
      <c r="G1371" s="638"/>
    </row>
    <row r="1372" spans="1:7">
      <c r="A1372" s="3" t="s">
        <v>1542</v>
      </c>
      <c r="B1372" s="100" t="s">
        <v>1543</v>
      </c>
      <c r="C1372" s="30">
        <v>6.25</v>
      </c>
      <c r="D1372" s="16" t="s">
        <v>813</v>
      </c>
      <c r="E1372" s="638"/>
      <c r="F1372" s="638"/>
      <c r="G1372" s="638"/>
    </row>
    <row r="1373" spans="1:7">
      <c r="A1373" s="638"/>
      <c r="B1373" s="638"/>
      <c r="C1373" s="638"/>
      <c r="D1373" s="638"/>
      <c r="E1373" s="638"/>
      <c r="F1373" s="638"/>
      <c r="G1373" s="638"/>
    </row>
    <row r="1374" spans="1:7">
      <c r="A1374" s="655" t="s">
        <v>1879</v>
      </c>
      <c r="B1374" s="656" t="s">
        <v>528</v>
      </c>
      <c r="C1374" s="660"/>
      <c r="D1374" s="660"/>
      <c r="E1374" s="660"/>
      <c r="F1374" s="638"/>
      <c r="G1374" s="638"/>
    </row>
    <row r="1375" spans="1:7">
      <c r="A1375" s="655" t="s">
        <v>1880</v>
      </c>
      <c r="B1375" s="645">
        <v>1380</v>
      </c>
      <c r="C1375" s="669"/>
      <c r="D1375" s="657"/>
      <c r="E1375" s="657"/>
      <c r="F1375" s="638"/>
      <c r="G1375" s="638"/>
    </row>
    <row r="1376" spans="1:7">
      <c r="A1376" s="659" t="s">
        <v>1881</v>
      </c>
      <c r="B1376" s="645">
        <v>705</v>
      </c>
      <c r="C1376" s="657"/>
      <c r="D1376" s="657"/>
      <c r="E1376" s="657"/>
      <c r="F1376" s="638"/>
      <c r="G1376" s="638"/>
    </row>
    <row r="1377" spans="1:7">
      <c r="A1377" s="659" t="s">
        <v>1882</v>
      </c>
      <c r="B1377" s="645">
        <v>580</v>
      </c>
    </row>
    <row r="1379" spans="1:7">
      <c r="A1379" s="658"/>
      <c r="B1379" s="657"/>
      <c r="C1379" s="657"/>
      <c r="D1379" s="657"/>
      <c r="E1379" s="657"/>
      <c r="F1379" s="638"/>
      <c r="G1379" s="638"/>
    </row>
    <row r="1380" spans="1:7">
      <c r="A1380" s="655" t="s">
        <v>1875</v>
      </c>
      <c r="B1380" s="656" t="s">
        <v>1330</v>
      </c>
      <c r="C1380" s="656" t="s">
        <v>187</v>
      </c>
      <c r="D1380" s="656" t="s">
        <v>421</v>
      </c>
      <c r="E1380" s="656" t="s">
        <v>1877</v>
      </c>
      <c r="F1380" s="656" t="s">
        <v>625</v>
      </c>
      <c r="G1380" s="638"/>
    </row>
    <row r="1381" spans="1:7">
      <c r="A1381" s="655" t="s">
        <v>1876</v>
      </c>
      <c r="B1381" s="645">
        <v>470.27</v>
      </c>
      <c r="C1381" s="645"/>
      <c r="D1381" s="645">
        <v>163</v>
      </c>
      <c r="E1381" s="645">
        <v>312</v>
      </c>
      <c r="F1381" s="661">
        <v>130</v>
      </c>
      <c r="G1381" s="638"/>
    </row>
    <row r="1382" spans="1:7">
      <c r="A1382" s="638"/>
      <c r="B1382" s="638"/>
      <c r="C1382" s="638"/>
      <c r="D1382" s="638"/>
      <c r="E1382" s="638" t="s">
        <v>1878</v>
      </c>
      <c r="F1382" s="638"/>
      <c r="G1382" s="638"/>
    </row>
    <row r="1383" spans="1:7">
      <c r="A1383" s="330" t="s">
        <v>1883</v>
      </c>
      <c r="B1383" s="530" t="s">
        <v>33</v>
      </c>
      <c r="C1383" s="551" t="s">
        <v>1884</v>
      </c>
      <c r="D1383" s="530" t="s">
        <v>56</v>
      </c>
    </row>
    <row r="1384" spans="1:7">
      <c r="A1384" s="530" t="s">
        <v>1904</v>
      </c>
      <c r="B1384" s="668" t="s">
        <v>1906</v>
      </c>
      <c r="C1384" s="30">
        <v>561</v>
      </c>
      <c r="D1384" s="667">
        <v>250</v>
      </c>
      <c r="E1384" s="118"/>
    </row>
    <row r="1385" spans="1:7">
      <c r="A1385" s="530" t="s">
        <v>1902</v>
      </c>
      <c r="B1385" s="668" t="s">
        <v>1907</v>
      </c>
      <c r="C1385" s="30">
        <v>563.9</v>
      </c>
      <c r="D1385" s="16" t="s">
        <v>1896</v>
      </c>
      <c r="F1385" s="638"/>
      <c r="G1385" s="638"/>
    </row>
    <row r="1386" spans="1:7">
      <c r="A1386" s="530" t="s">
        <v>1903</v>
      </c>
      <c r="B1386" s="668" t="s">
        <v>1908</v>
      </c>
      <c r="C1386" s="30">
        <v>588.54999999999995</v>
      </c>
      <c r="D1386" s="116">
        <v>0</v>
      </c>
      <c r="F1386" s="638"/>
      <c r="G1386" s="638"/>
    </row>
    <row r="1387" spans="1:7">
      <c r="A1387" s="641" t="s">
        <v>1886</v>
      </c>
      <c r="B1387" s="668" t="s">
        <v>1909</v>
      </c>
      <c r="C1387" s="645">
        <v>544.5</v>
      </c>
      <c r="D1387" s="116"/>
      <c r="F1387" s="638"/>
      <c r="G1387" s="638"/>
    </row>
    <row r="1388" spans="1:7">
      <c r="A1388" s="641" t="s">
        <v>1887</v>
      </c>
      <c r="B1388" s="668" t="s">
        <v>1905</v>
      </c>
      <c r="C1388" s="645">
        <v>781.77</v>
      </c>
      <c r="D1388" s="650" t="s">
        <v>1113</v>
      </c>
      <c r="E1388" s="638"/>
      <c r="F1388" s="638"/>
      <c r="G1388" s="638"/>
    </row>
    <row r="1389" spans="1:7">
      <c r="A1389" s="641" t="s">
        <v>474</v>
      </c>
      <c r="B1389" s="668" t="s">
        <v>1910</v>
      </c>
      <c r="C1389" s="645">
        <v>676.5</v>
      </c>
      <c r="D1389" s="667">
        <v>140</v>
      </c>
      <c r="E1389" s="664"/>
      <c r="F1389" s="638"/>
      <c r="G1389" s="638"/>
    </row>
    <row r="1390" spans="1:7">
      <c r="A1390" s="641" t="s">
        <v>1888</v>
      </c>
      <c r="B1390" s="668" t="s">
        <v>1911</v>
      </c>
      <c r="C1390" s="645">
        <v>2298.7800000000002</v>
      </c>
      <c r="D1390" s="667">
        <v>240</v>
      </c>
      <c r="E1390" s="638"/>
      <c r="F1390" s="638"/>
      <c r="G1390" s="638"/>
    </row>
    <row r="1391" spans="1:7">
      <c r="A1391" s="638"/>
      <c r="B1391" s="638"/>
      <c r="C1391" s="638"/>
      <c r="D1391" s="638"/>
      <c r="E1391" s="638"/>
      <c r="F1391" s="638"/>
      <c r="G1391" s="638"/>
    </row>
    <row r="1392" spans="1:7">
      <c r="A1392" s="662" t="s">
        <v>1885</v>
      </c>
      <c r="B1392" s="3"/>
      <c r="C1392" s="72"/>
      <c r="E1392" s="638"/>
      <c r="F1392" s="638"/>
      <c r="G1392" s="638"/>
    </row>
    <row r="1393" spans="1:7">
      <c r="A1393" s="663" t="s">
        <v>1890</v>
      </c>
      <c r="B1393" s="645">
        <v>1323</v>
      </c>
      <c r="C1393" s="666"/>
      <c r="D1393" s="638"/>
      <c r="E1393" s="638"/>
      <c r="F1393" s="638"/>
      <c r="G1393" s="638"/>
    </row>
    <row r="1394" spans="1:7">
      <c r="A1394" s="663" t="s">
        <v>1891</v>
      </c>
      <c r="B1394" s="645">
        <v>2125</v>
      </c>
      <c r="C1394" s="638"/>
      <c r="D1394" s="638"/>
      <c r="E1394" s="638"/>
      <c r="F1394" s="638"/>
      <c r="G1394" s="638"/>
    </row>
    <row r="1395" spans="1:7">
      <c r="A1395" s="663" t="s">
        <v>1892</v>
      </c>
      <c r="B1395" s="645"/>
      <c r="C1395" s="638"/>
      <c r="D1395" s="638"/>
      <c r="E1395" s="638"/>
      <c r="F1395" s="638"/>
      <c r="G1395" s="638"/>
    </row>
    <row r="1396" spans="1:7" ht="15" thickBot="1">
      <c r="A1396" s="638"/>
      <c r="B1396" s="638"/>
      <c r="C1396" s="638"/>
      <c r="D1396" s="638"/>
      <c r="E1396" s="638"/>
      <c r="F1396" s="638"/>
      <c r="G1396" s="638"/>
    </row>
    <row r="1397" spans="1:7" ht="15" thickBot="1">
      <c r="A1397" s="547" t="s">
        <v>1889</v>
      </c>
      <c r="B1397" s="548" t="s">
        <v>1541</v>
      </c>
      <c r="C1397" s="554" t="s">
        <v>346</v>
      </c>
      <c r="D1397" s="554"/>
      <c r="E1397" s="638"/>
      <c r="F1397" s="638"/>
      <c r="G1397" s="638"/>
    </row>
    <row r="1398" spans="1:7">
      <c r="A1398" s="544" t="s">
        <v>319</v>
      </c>
      <c r="B1398" s="545" t="s">
        <v>33</v>
      </c>
      <c r="C1398" s="483" t="s">
        <v>1538</v>
      </c>
      <c r="D1398" s="483" t="s">
        <v>1230</v>
      </c>
      <c r="E1398" s="638"/>
      <c r="F1398" s="638"/>
      <c r="G1398" s="638"/>
    </row>
    <row r="1399" spans="1:7">
      <c r="A1399" s="94" t="s">
        <v>1073</v>
      </c>
      <c r="B1399" s="100" t="s">
        <v>323</v>
      </c>
      <c r="C1399" s="30">
        <v>6.45</v>
      </c>
      <c r="D1399" s="16" t="s">
        <v>1746</v>
      </c>
      <c r="E1399" s="638"/>
      <c r="F1399" s="638"/>
      <c r="G1399" s="638"/>
    </row>
    <row r="1400" spans="1:7">
      <c r="A1400" s="94" t="s">
        <v>326</v>
      </c>
      <c r="B1400" s="100" t="s">
        <v>327</v>
      </c>
      <c r="C1400" s="114" t="s">
        <v>983</v>
      </c>
      <c r="D1400" s="16" t="s">
        <v>1893</v>
      </c>
      <c r="E1400" s="638"/>
      <c r="F1400" s="638"/>
      <c r="G1400" s="638"/>
    </row>
    <row r="1401" spans="1:7">
      <c r="A1401" s="94" t="s">
        <v>334</v>
      </c>
      <c r="B1401" s="100" t="s">
        <v>335</v>
      </c>
      <c r="C1401" s="30">
        <v>6.4</v>
      </c>
      <c r="D1401" s="16" t="s">
        <v>1745</v>
      </c>
      <c r="E1401" s="638"/>
      <c r="F1401" s="638"/>
      <c r="G1401" s="638"/>
    </row>
    <row r="1402" spans="1:7">
      <c r="A1402" s="3" t="s">
        <v>1542</v>
      </c>
      <c r="B1402" s="100" t="s">
        <v>1543</v>
      </c>
      <c r="C1402" s="30">
        <v>6.25</v>
      </c>
      <c r="D1402" s="16" t="s">
        <v>813</v>
      </c>
      <c r="E1402" s="638"/>
      <c r="F1402" s="638"/>
      <c r="G1402" s="638"/>
    </row>
    <row r="1403" spans="1:7">
      <c r="A1403" s="638"/>
      <c r="B1403" s="638"/>
      <c r="C1403" s="638"/>
      <c r="D1403" s="638"/>
      <c r="E1403" s="638"/>
      <c r="F1403" s="638"/>
      <c r="G1403" s="638"/>
    </row>
    <row r="1404" spans="1:7">
      <c r="A1404" s="643" t="s">
        <v>1894</v>
      </c>
      <c r="B1404" s="643" t="s">
        <v>1897</v>
      </c>
      <c r="C1404" s="643" t="s">
        <v>1895</v>
      </c>
      <c r="D1404" s="641" t="s">
        <v>238</v>
      </c>
      <c r="E1404" s="638"/>
      <c r="F1404" s="638"/>
      <c r="G1404" s="638"/>
    </row>
    <row r="1405" spans="1:7">
      <c r="A1405" s="551" t="s">
        <v>1031</v>
      </c>
      <c r="B1405" s="30">
        <v>269</v>
      </c>
      <c r="C1405" s="30">
        <v>26.5</v>
      </c>
      <c r="D1405" s="645">
        <f t="shared" ref="D1405:D1406" si="15">B1405+C1405</f>
        <v>295.5</v>
      </c>
      <c r="G1405" s="638"/>
    </row>
    <row r="1406" spans="1:7">
      <c r="A1406" s="643" t="s">
        <v>874</v>
      </c>
      <c r="B1406" s="30">
        <v>220</v>
      </c>
      <c r="C1406" s="645">
        <v>15</v>
      </c>
      <c r="D1406" s="645">
        <f t="shared" si="15"/>
        <v>235</v>
      </c>
      <c r="E1406" s="638"/>
      <c r="F1406" s="638"/>
      <c r="G1406" s="638"/>
    </row>
    <row r="1407" spans="1:7">
      <c r="A1407" s="643" t="s">
        <v>528</v>
      </c>
      <c r="B1407" s="645">
        <v>220</v>
      </c>
      <c r="C1407" s="645">
        <v>30</v>
      </c>
      <c r="D1407" s="645">
        <f>B1407+C1407</f>
        <v>250</v>
      </c>
      <c r="E1407" s="638"/>
      <c r="F1407" s="638"/>
      <c r="G1407" s="638"/>
    </row>
    <row r="1408" spans="1:7">
      <c r="A1408" s="643" t="s">
        <v>1898</v>
      </c>
      <c r="B1408" s="645">
        <v>175</v>
      </c>
      <c r="C1408" s="645">
        <v>22</v>
      </c>
      <c r="D1408" s="645">
        <f t="shared" ref="D1408" si="16">B1408+C1408</f>
        <v>197</v>
      </c>
      <c r="E1408" s="666"/>
      <c r="F1408" s="638"/>
      <c r="G1408" s="638"/>
    </row>
    <row r="1409" spans="1:7">
      <c r="A1409" s="638"/>
      <c r="B1409" s="638"/>
      <c r="C1409" s="638"/>
      <c r="D1409" s="638"/>
      <c r="E1409" s="638"/>
      <c r="F1409" s="638"/>
      <c r="G1409" s="638"/>
    </row>
    <row r="1410" spans="1:7">
      <c r="A1410" s="665" t="s">
        <v>1899</v>
      </c>
      <c r="B1410" s="641" t="s">
        <v>1898</v>
      </c>
      <c r="C1410" s="530" t="s">
        <v>1031</v>
      </c>
      <c r="D1410" s="641" t="s">
        <v>874</v>
      </c>
      <c r="E1410" s="638"/>
      <c r="F1410" s="638"/>
      <c r="G1410" s="638"/>
    </row>
    <row r="1411" spans="1:7">
      <c r="A1411" s="643" t="s">
        <v>1900</v>
      </c>
      <c r="B1411" s="645">
        <f>137*2</f>
        <v>274</v>
      </c>
      <c r="C1411" s="645">
        <f>2*228</f>
        <v>456</v>
      </c>
      <c r="D1411" s="645">
        <f>2*134.05</f>
        <v>268.10000000000002</v>
      </c>
      <c r="E1411" s="638"/>
      <c r="F1411" s="638"/>
      <c r="G1411" s="638"/>
    </row>
    <row r="1412" spans="1:7" ht="15" thickBot="1">
      <c r="A1412" s="638"/>
      <c r="B1412" s="638"/>
      <c r="C1412" s="638"/>
      <c r="D1412" s="638"/>
      <c r="E1412" s="638"/>
      <c r="F1412" s="638"/>
      <c r="G1412" s="638"/>
    </row>
    <row r="1413" spans="1:7" ht="15" thickBot="1">
      <c r="A1413" s="547" t="s">
        <v>1901</v>
      </c>
      <c r="B1413" s="548" t="s">
        <v>1541</v>
      </c>
      <c r="C1413" s="554" t="s">
        <v>346</v>
      </c>
      <c r="D1413" s="554"/>
      <c r="E1413" s="638"/>
      <c r="F1413" s="638"/>
      <c r="G1413" s="638"/>
    </row>
    <row r="1414" spans="1:7">
      <c r="A1414" s="544" t="s">
        <v>319</v>
      </c>
      <c r="B1414" s="545" t="s">
        <v>33</v>
      </c>
      <c r="C1414" s="483" t="s">
        <v>1538</v>
      </c>
      <c r="D1414" s="483" t="s">
        <v>1230</v>
      </c>
      <c r="E1414" s="638"/>
      <c r="F1414" s="638"/>
      <c r="G1414" s="638"/>
    </row>
    <row r="1415" spans="1:7">
      <c r="A1415" s="94" t="s">
        <v>1073</v>
      </c>
      <c r="B1415" s="100" t="s">
        <v>323</v>
      </c>
      <c r="C1415" s="30">
        <v>6.59</v>
      </c>
      <c r="D1415" s="16" t="s">
        <v>1746</v>
      </c>
      <c r="E1415" s="638"/>
      <c r="F1415" s="638"/>
      <c r="G1415" s="638"/>
    </row>
    <row r="1416" spans="1:7">
      <c r="A1416" s="94" t="s">
        <v>326</v>
      </c>
      <c r="B1416" s="100" t="s">
        <v>327</v>
      </c>
      <c r="C1416" s="114">
        <v>6.32</v>
      </c>
      <c r="D1416" s="16" t="s">
        <v>1746</v>
      </c>
      <c r="E1416" s="638"/>
      <c r="F1416" s="638"/>
      <c r="G1416" s="638"/>
    </row>
    <row r="1417" spans="1:7">
      <c r="A1417" s="94" t="s">
        <v>334</v>
      </c>
      <c r="B1417" s="100" t="s">
        <v>335</v>
      </c>
      <c r="C1417" s="30">
        <v>6.35</v>
      </c>
      <c r="D1417" s="16" t="s">
        <v>1745</v>
      </c>
      <c r="E1417" s="638"/>
      <c r="F1417" s="638"/>
      <c r="G1417" s="638"/>
    </row>
    <row r="1418" spans="1:7">
      <c r="A1418" s="3" t="s">
        <v>1542</v>
      </c>
      <c r="B1418" s="100" t="s">
        <v>1543</v>
      </c>
      <c r="C1418" s="30">
        <v>6.25</v>
      </c>
      <c r="D1418" s="16" t="s">
        <v>813</v>
      </c>
      <c r="E1418" s="666"/>
      <c r="F1418" s="638"/>
      <c r="G1418" s="638"/>
    </row>
    <row r="1419" spans="1:7">
      <c r="A1419" s="3" t="s">
        <v>1951</v>
      </c>
      <c r="B1419" s="100" t="s">
        <v>1952</v>
      </c>
      <c r="C1419" s="30">
        <v>6.04</v>
      </c>
      <c r="D1419" s="16" t="s">
        <v>1072</v>
      </c>
      <c r="E1419" s="638"/>
      <c r="F1419" s="638"/>
      <c r="G1419" s="638"/>
    </row>
    <row r="1420" spans="1:7">
      <c r="A1420" s="638"/>
      <c r="B1420" s="638"/>
      <c r="C1420" s="638"/>
      <c r="D1420" s="638"/>
      <c r="E1420" s="638"/>
      <c r="F1420" s="638"/>
      <c r="G1420" s="638"/>
    </row>
    <row r="1421" spans="1:7">
      <c r="A1421" s="525" t="s">
        <v>1912</v>
      </c>
      <c r="B1421" s="354" t="s">
        <v>1060</v>
      </c>
      <c r="C1421" s="354" t="s">
        <v>1913</v>
      </c>
      <c r="D1421" s="638"/>
    </row>
    <row r="1422" spans="1:7">
      <c r="A1422" s="3" t="s">
        <v>1158</v>
      </c>
      <c r="B1422" s="3">
        <v>4</v>
      </c>
      <c r="C1422" s="16"/>
      <c r="D1422" s="638"/>
    </row>
    <row r="1423" spans="1:7">
      <c r="A1423" s="3" t="s">
        <v>1159</v>
      </c>
      <c r="B1423" s="3">
        <v>4</v>
      </c>
      <c r="C1423" s="16"/>
      <c r="D1423" s="638"/>
    </row>
    <row r="1424" spans="1:7">
      <c r="A1424" s="3" t="s">
        <v>1160</v>
      </c>
      <c r="B1424" s="3">
        <v>4</v>
      </c>
      <c r="C1424" s="16"/>
      <c r="D1424" s="638"/>
    </row>
    <row r="1425" spans="1:7">
      <c r="G1425" s="638"/>
    </row>
    <row r="1426" spans="1:7">
      <c r="A1426" s="643" t="s">
        <v>1914</v>
      </c>
      <c r="B1426" s="641" t="s">
        <v>1915</v>
      </c>
      <c r="C1426" s="643" t="s">
        <v>55</v>
      </c>
      <c r="D1426" s="638"/>
      <c r="E1426" s="638"/>
      <c r="F1426" s="638"/>
      <c r="G1426" s="638"/>
    </row>
    <row r="1427" spans="1:7">
      <c r="A1427" s="662" t="s">
        <v>1916</v>
      </c>
      <c r="B1427" s="650"/>
      <c r="C1427" s="645"/>
      <c r="D1427" s="638"/>
      <c r="E1427" s="638"/>
      <c r="F1427" s="638"/>
      <c r="G1427" s="638"/>
    </row>
    <row r="1428" spans="1:7">
      <c r="A1428" s="662" t="s">
        <v>667</v>
      </c>
      <c r="B1428" s="650" t="s">
        <v>1920</v>
      </c>
      <c r="C1428" s="645">
        <v>1121</v>
      </c>
      <c r="D1428" s="638"/>
      <c r="E1428" s="638"/>
      <c r="F1428" s="638"/>
      <c r="G1428" s="638"/>
    </row>
    <row r="1429" spans="1:7">
      <c r="A1429" s="662" t="s">
        <v>1726</v>
      </c>
      <c r="B1429" s="650" t="s">
        <v>1919</v>
      </c>
      <c r="C1429" s="645">
        <v>1200</v>
      </c>
      <c r="D1429" s="638"/>
      <c r="E1429" s="638"/>
      <c r="F1429" s="638"/>
      <c r="G1429" s="638"/>
    </row>
    <row r="1430" spans="1:7">
      <c r="A1430" s="662" t="s">
        <v>1917</v>
      </c>
      <c r="B1430" s="650" t="s">
        <v>1928</v>
      </c>
      <c r="C1430" s="650" t="s">
        <v>1928</v>
      </c>
      <c r="D1430" s="638"/>
      <c r="E1430" s="638"/>
      <c r="F1430" s="638"/>
      <c r="G1430" s="638"/>
    </row>
    <row r="1431" spans="1:7">
      <c r="A1431" s="662" t="s">
        <v>1918</v>
      </c>
      <c r="B1431" s="650" t="s">
        <v>1928</v>
      </c>
      <c r="C1431" s="650" t="s">
        <v>1928</v>
      </c>
      <c r="D1431" s="638"/>
      <c r="E1431" s="638"/>
      <c r="F1431" s="638"/>
      <c r="G1431" s="638"/>
    </row>
    <row r="1432" spans="1:7">
      <c r="A1432" s="662" t="s">
        <v>1921</v>
      </c>
      <c r="B1432" s="650" t="s">
        <v>1920</v>
      </c>
      <c r="C1432" s="645">
        <v>1055.4000000000001</v>
      </c>
      <c r="D1432" s="664">
        <f>2*C1432</f>
        <v>2110.8000000000002</v>
      </c>
      <c r="E1432" s="638"/>
      <c r="F1432" s="638"/>
      <c r="G1432" s="638"/>
    </row>
    <row r="1433" spans="1:7">
      <c r="A1433" s="662" t="s">
        <v>1921</v>
      </c>
      <c r="B1433" s="650" t="s">
        <v>1919</v>
      </c>
      <c r="C1433" s="645">
        <v>1222.08</v>
      </c>
      <c r="D1433" s="638"/>
      <c r="E1433" s="638"/>
      <c r="F1433" s="638"/>
      <c r="G1433" s="638"/>
    </row>
    <row r="1434" spans="1:7">
      <c r="A1434" s="662" t="s">
        <v>1921</v>
      </c>
      <c r="B1434" s="650" t="s">
        <v>1922</v>
      </c>
      <c r="C1434" s="645">
        <v>1138.68</v>
      </c>
      <c r="D1434" s="638"/>
      <c r="E1434" s="638"/>
      <c r="F1434" s="638"/>
      <c r="G1434" s="638"/>
    </row>
    <row r="1435" spans="1:7">
      <c r="A1435" s="658"/>
      <c r="B1435" s="638"/>
      <c r="C1435" s="657"/>
      <c r="D1435" s="638"/>
      <c r="E1435" s="638"/>
      <c r="F1435" s="638"/>
      <c r="G1435" s="638"/>
    </row>
    <row r="1436" spans="1:7">
      <c r="A1436" s="638"/>
      <c r="B1436" s="638"/>
      <c r="C1436" s="638"/>
      <c r="D1436" s="638"/>
      <c r="E1436" s="638"/>
      <c r="F1436" s="638"/>
      <c r="G1436" s="638"/>
    </row>
    <row r="1437" spans="1:7">
      <c r="A1437" s="665" t="s">
        <v>1923</v>
      </c>
      <c r="B1437" s="641" t="s">
        <v>1926</v>
      </c>
      <c r="C1437" s="641" t="s">
        <v>1927</v>
      </c>
      <c r="D1437" s="643" t="s">
        <v>1924</v>
      </c>
      <c r="E1437" s="638"/>
      <c r="F1437" s="638"/>
      <c r="G1437" s="638"/>
    </row>
    <row r="1438" spans="1:7">
      <c r="A1438" s="643" t="s">
        <v>1941</v>
      </c>
      <c r="B1438" s="650">
        <v>348.65</v>
      </c>
      <c r="C1438" s="30">
        <v>13946</v>
      </c>
      <c r="D1438" s="670" t="s">
        <v>1925</v>
      </c>
      <c r="E1438" s="638"/>
      <c r="F1438" s="638"/>
      <c r="G1438" s="638"/>
    </row>
    <row r="1439" spans="1:7">
      <c r="A1439" s="638"/>
      <c r="B1439" s="638"/>
      <c r="C1439" s="638"/>
      <c r="D1439" s="638"/>
      <c r="E1439" s="664">
        <f>C1438-C1441</f>
        <v>-7240</v>
      </c>
      <c r="F1439" s="638"/>
      <c r="G1439" s="638"/>
    </row>
    <row r="1440" spans="1:7">
      <c r="A1440" s="665" t="s">
        <v>1923</v>
      </c>
      <c r="B1440" s="641" t="s">
        <v>1938</v>
      </c>
      <c r="C1440" s="641" t="s">
        <v>1939</v>
      </c>
      <c r="D1440" s="643" t="s">
        <v>1924</v>
      </c>
      <c r="E1440" s="638"/>
      <c r="F1440" s="638"/>
      <c r="G1440" s="638"/>
    </row>
    <row r="1441" spans="1:7">
      <c r="A1441" s="643" t="s">
        <v>1940</v>
      </c>
      <c r="B1441" s="645">
        <v>529.65</v>
      </c>
      <c r="C1441" s="30">
        <v>21186</v>
      </c>
      <c r="D1441" s="670" t="s">
        <v>1925</v>
      </c>
      <c r="E1441" s="638"/>
      <c r="F1441" s="638"/>
      <c r="G1441" s="638"/>
    </row>
    <row r="1442" spans="1:7">
      <c r="A1442" s="638"/>
      <c r="B1442" s="638"/>
      <c r="C1442" s="638"/>
      <c r="D1442" s="638"/>
      <c r="E1442" s="638"/>
      <c r="F1442" s="638"/>
      <c r="G1442" s="638"/>
    </row>
    <row r="1443" spans="1:7">
      <c r="A1443" s="643" t="s">
        <v>1934</v>
      </c>
      <c r="B1443" s="641" t="s">
        <v>1933</v>
      </c>
      <c r="C1443" s="641" t="s">
        <v>1661</v>
      </c>
      <c r="D1443" s="641" t="s">
        <v>1935</v>
      </c>
      <c r="E1443" s="638"/>
      <c r="F1443" s="638"/>
      <c r="G1443" s="638"/>
    </row>
    <row r="1444" spans="1:7">
      <c r="A1444" s="643" t="s">
        <v>1931</v>
      </c>
      <c r="B1444" s="652">
        <v>2</v>
      </c>
      <c r="C1444" s="645">
        <f>141.35*2</f>
        <v>282.7</v>
      </c>
      <c r="D1444" s="645">
        <v>240</v>
      </c>
      <c r="E1444" s="638"/>
      <c r="F1444" s="638"/>
      <c r="G1444" s="638"/>
    </row>
    <row r="1445" spans="1:7">
      <c r="A1445" s="643" t="s">
        <v>1932</v>
      </c>
      <c r="B1445" s="652">
        <v>2</v>
      </c>
      <c r="C1445" s="645">
        <f>95.09*2</f>
        <v>190.18</v>
      </c>
      <c r="D1445" s="645">
        <v>200</v>
      </c>
      <c r="E1445" s="638"/>
      <c r="F1445" s="638"/>
      <c r="G1445" s="638"/>
    </row>
    <row r="1446" spans="1:7">
      <c r="A1446" s="643" t="s">
        <v>1929</v>
      </c>
      <c r="B1446" s="652">
        <v>1</v>
      </c>
      <c r="C1446" s="645">
        <v>2794</v>
      </c>
      <c r="D1446" s="645">
        <v>1300</v>
      </c>
      <c r="E1446" s="638"/>
      <c r="F1446" s="638"/>
      <c r="G1446" s="638"/>
    </row>
    <row r="1447" spans="1:7">
      <c r="A1447" s="643" t="s">
        <v>1930</v>
      </c>
      <c r="B1447" s="652">
        <v>1</v>
      </c>
      <c r="C1447" s="645">
        <v>1571</v>
      </c>
      <c r="D1447" s="645">
        <v>1200</v>
      </c>
      <c r="E1447" s="638"/>
      <c r="F1447" s="638"/>
      <c r="G1447" s="638"/>
    </row>
    <row r="1448" spans="1:7">
      <c r="A1448" s="902" t="s">
        <v>238</v>
      </c>
      <c r="B1448" s="902"/>
      <c r="C1448" s="671">
        <f>SUM(C1444:C1447)</f>
        <v>4837.88</v>
      </c>
      <c r="D1448" s="672">
        <f>SUM(D1444:D1447)</f>
        <v>2940</v>
      </c>
      <c r="E1448" s="638"/>
      <c r="F1448" s="638"/>
      <c r="G1448" s="638"/>
    </row>
    <row r="1449" spans="1:7">
      <c r="A1449" s="638"/>
      <c r="B1449" s="638"/>
      <c r="C1449" s="638"/>
      <c r="D1449" s="638"/>
      <c r="E1449" s="638"/>
      <c r="F1449" s="638"/>
      <c r="G1449" s="638"/>
    </row>
    <row r="1450" spans="1:7" ht="15.6">
      <c r="A1450" s="443" t="s">
        <v>940</v>
      </c>
      <c r="B1450" s="354" t="s">
        <v>936</v>
      </c>
      <c r="C1450" s="101" t="s">
        <v>1943</v>
      </c>
      <c r="D1450" s="354" t="s">
        <v>55</v>
      </c>
      <c r="E1450" s="638"/>
      <c r="F1450" s="638"/>
      <c r="G1450" s="638"/>
    </row>
    <row r="1451" spans="1:7">
      <c r="A1451" s="419" t="s">
        <v>1167</v>
      </c>
      <c r="B1451" s="419" t="s">
        <v>938</v>
      </c>
      <c r="D1451" s="445">
        <f>C1451*4</f>
        <v>0</v>
      </c>
    </row>
    <row r="1452" spans="1:7">
      <c r="A1452" s="419" t="s">
        <v>934</v>
      </c>
      <c r="B1452" s="419" t="s">
        <v>937</v>
      </c>
      <c r="C1452" s="16">
        <v>12033.11</v>
      </c>
      <c r="D1452" s="445">
        <f>C1452*4</f>
        <v>48132.44</v>
      </c>
    </row>
    <row r="1454" spans="1:7">
      <c r="A1454" s="218" t="s">
        <v>1942</v>
      </c>
    </row>
    <row r="1457" spans="1:4">
      <c r="A1457" s="218" t="s">
        <v>1944</v>
      </c>
      <c r="B1457" s="218"/>
      <c r="C1457" s="218"/>
      <c r="D1457" s="218"/>
    </row>
    <row r="1458" spans="1:4">
      <c r="A1458" s="218" t="s">
        <v>1945</v>
      </c>
      <c r="B1458" s="16"/>
      <c r="C1458" s="16"/>
      <c r="D1458" s="16"/>
    </row>
    <row r="1460" spans="1:4">
      <c r="A1460" s="674" t="s">
        <v>1946</v>
      </c>
      <c r="B1460" s="101" t="s">
        <v>190</v>
      </c>
      <c r="C1460" s="101" t="s">
        <v>55</v>
      </c>
    </row>
    <row r="1461" spans="1:4" ht="28.8">
      <c r="A1461" s="84" t="s">
        <v>1947</v>
      </c>
      <c r="B1461" s="673" t="s">
        <v>1948</v>
      </c>
      <c r="C1461" s="30">
        <v>359.79</v>
      </c>
    </row>
    <row r="1462" spans="1:4" ht="43.2">
      <c r="A1462" s="84" t="s">
        <v>1480</v>
      </c>
      <c r="B1462" s="673" t="s">
        <v>1949</v>
      </c>
      <c r="C1462" s="30">
        <v>349.98</v>
      </c>
    </row>
    <row r="1463" spans="1:4" ht="28.8">
      <c r="A1463" s="84" t="s">
        <v>1480</v>
      </c>
      <c r="B1463" s="673" t="s">
        <v>1950</v>
      </c>
      <c r="C1463" s="30">
        <v>479.97</v>
      </c>
    </row>
    <row r="1464" spans="1:4" ht="28.8">
      <c r="A1464" s="84" t="s">
        <v>1954</v>
      </c>
      <c r="B1464" s="673" t="s">
        <v>1955</v>
      </c>
      <c r="C1464" s="116">
        <v>359.9</v>
      </c>
    </row>
    <row r="1465" spans="1:4" ht="28.8">
      <c r="A1465" s="84" t="s">
        <v>1954</v>
      </c>
      <c r="B1465" s="673" t="s">
        <v>1956</v>
      </c>
      <c r="C1465" s="30">
        <v>799</v>
      </c>
    </row>
    <row r="1466" spans="1:4">
      <c r="A1466" s="84" t="s">
        <v>1718</v>
      </c>
      <c r="B1466" s="16"/>
      <c r="C1466" s="30">
        <v>898</v>
      </c>
    </row>
    <row r="1467" spans="1:4">
      <c r="A1467" s="84" t="s">
        <v>1718</v>
      </c>
      <c r="B1467" s="16"/>
      <c r="C1467" s="116">
        <v>1080</v>
      </c>
    </row>
    <row r="1468" spans="1:4">
      <c r="A1468" s="84" t="s">
        <v>1718</v>
      </c>
      <c r="B1468" s="16"/>
      <c r="C1468" s="116">
        <v>838</v>
      </c>
    </row>
    <row r="1470" spans="1:4">
      <c r="A1470" s="218" t="s">
        <v>1957</v>
      </c>
      <c r="B1470" s="101" t="s">
        <v>1958</v>
      </c>
    </row>
    <row r="1471" spans="1:4">
      <c r="A1471" s="218" t="s">
        <v>1959</v>
      </c>
      <c r="B1471" s="30">
        <v>1750</v>
      </c>
    </row>
    <row r="1472" spans="1:4">
      <c r="A1472" s="218" t="s">
        <v>1960</v>
      </c>
      <c r="B1472" s="30">
        <v>1800</v>
      </c>
    </row>
    <row r="1473" spans="1:5">
      <c r="A1473" s="218" t="s">
        <v>1961</v>
      </c>
      <c r="B1473" s="30">
        <v>1300</v>
      </c>
    </row>
    <row r="1474" spans="1:5">
      <c r="A1474" s="218" t="s">
        <v>1962</v>
      </c>
      <c r="B1474" s="30">
        <v>1100</v>
      </c>
    </row>
    <row r="1476" spans="1:5">
      <c r="A1476" s="183" t="s">
        <v>1963</v>
      </c>
      <c r="B1476" s="185" t="s">
        <v>941</v>
      </c>
    </row>
    <row r="1478" spans="1:5">
      <c r="A1478" s="901" t="s">
        <v>1964</v>
      </c>
      <c r="B1478" s="901"/>
      <c r="C1478" s="901"/>
      <c r="D1478" s="901"/>
      <c r="E1478" s="901"/>
    </row>
    <row r="1479" spans="1:5">
      <c r="A1479" s="901"/>
      <c r="B1479" s="901"/>
      <c r="C1479" s="901"/>
      <c r="D1479" s="901"/>
      <c r="E1479" s="901"/>
    </row>
    <row r="1480" spans="1:5">
      <c r="A1480" s="901"/>
      <c r="B1480" s="901"/>
      <c r="C1480" s="901"/>
      <c r="D1480" s="901"/>
      <c r="E1480" s="901"/>
    </row>
    <row r="1482" spans="1:5">
      <c r="A1482" s="551" t="s">
        <v>1966</v>
      </c>
      <c r="B1482" s="801" t="s">
        <v>221</v>
      </c>
      <c r="C1482" s="801" t="s">
        <v>1428</v>
      </c>
    </row>
    <row r="1483" spans="1:5">
      <c r="A1483" s="294" t="s">
        <v>1637</v>
      </c>
      <c r="B1483" s="801"/>
      <c r="C1483" s="801"/>
    </row>
    <row r="1484" spans="1:5">
      <c r="A1484" s="16" t="s">
        <v>1638</v>
      </c>
      <c r="B1484" s="675">
        <v>1</v>
      </c>
      <c r="C1484" s="16">
        <v>31.02</v>
      </c>
    </row>
    <row r="1485" spans="1:5">
      <c r="A1485" s="16" t="s">
        <v>1639</v>
      </c>
      <c r="B1485" s="675">
        <v>4</v>
      </c>
      <c r="C1485" s="16">
        <v>326.32</v>
      </c>
    </row>
    <row r="1486" spans="1:5">
      <c r="A1486" s="16" t="s">
        <v>1965</v>
      </c>
      <c r="B1486" s="675">
        <v>1</v>
      </c>
      <c r="C1486" s="16"/>
    </row>
    <row r="1487" spans="1:5">
      <c r="A1487" s="16" t="s">
        <v>1327</v>
      </c>
      <c r="B1487" s="675">
        <v>1</v>
      </c>
      <c r="C1487" s="16"/>
    </row>
    <row r="1489" spans="1:4">
      <c r="A1489" s="330" t="s">
        <v>1967</v>
      </c>
      <c r="B1489" s="530" t="s">
        <v>1969</v>
      </c>
    </row>
    <row r="1490" spans="1:4">
      <c r="A1490" s="331" t="s">
        <v>1970</v>
      </c>
      <c r="B1490" s="30">
        <v>1224</v>
      </c>
      <c r="C1490" s="215"/>
    </row>
    <row r="1491" spans="1:4" ht="15" thickBot="1"/>
    <row r="1492" spans="1:4" ht="15" thickBot="1">
      <c r="A1492" s="547" t="s">
        <v>1971</v>
      </c>
      <c r="B1492" s="548" t="s">
        <v>1541</v>
      </c>
      <c r="C1492" s="554" t="s">
        <v>346</v>
      </c>
      <c r="D1492" s="554"/>
    </row>
    <row r="1493" spans="1:4">
      <c r="A1493" s="544" t="s">
        <v>319</v>
      </c>
      <c r="B1493" s="545" t="s">
        <v>33</v>
      </c>
      <c r="C1493" s="483" t="s">
        <v>1538</v>
      </c>
      <c r="D1493" s="483" t="s">
        <v>1230</v>
      </c>
    </row>
    <row r="1494" spans="1:4">
      <c r="A1494" s="94" t="s">
        <v>1073</v>
      </c>
      <c r="B1494" s="100" t="s">
        <v>323</v>
      </c>
      <c r="C1494" s="30">
        <v>6.75</v>
      </c>
      <c r="D1494" s="16" t="s">
        <v>1746</v>
      </c>
    </row>
    <row r="1495" spans="1:4">
      <c r="A1495" s="94" t="s">
        <v>326</v>
      </c>
      <c r="B1495" s="100" t="s">
        <v>327</v>
      </c>
      <c r="C1495" s="114">
        <v>6.26</v>
      </c>
      <c r="D1495" s="16" t="s">
        <v>1746</v>
      </c>
    </row>
    <row r="1496" spans="1:4">
      <c r="A1496" s="94" t="s">
        <v>334</v>
      </c>
      <c r="B1496" s="100" t="s">
        <v>335</v>
      </c>
      <c r="C1496" s="30">
        <v>6.44</v>
      </c>
      <c r="D1496" s="16" t="s">
        <v>1745</v>
      </c>
    </row>
    <row r="1497" spans="1:4">
      <c r="A1497" s="3" t="s">
        <v>1542</v>
      </c>
      <c r="B1497" s="100" t="s">
        <v>1543</v>
      </c>
      <c r="C1497" s="30">
        <v>6.25</v>
      </c>
      <c r="D1497" s="16" t="s">
        <v>813</v>
      </c>
    </row>
    <row r="1498" spans="1:4">
      <c r="A1498" s="561" t="s">
        <v>1951</v>
      </c>
      <c r="B1498" s="496" t="s">
        <v>1952</v>
      </c>
      <c r="C1498" s="676">
        <v>6.04</v>
      </c>
      <c r="D1498" s="20" t="s">
        <v>1072</v>
      </c>
    </row>
    <row r="1500" spans="1:4" ht="15.6">
      <c r="A1500" s="443" t="s">
        <v>1973</v>
      </c>
      <c r="B1500" s="354" t="s">
        <v>936</v>
      </c>
      <c r="C1500" s="354" t="s">
        <v>55</v>
      </c>
    </row>
    <row r="1501" spans="1:4">
      <c r="A1501" s="419" t="s">
        <v>1975</v>
      </c>
      <c r="B1501" s="419" t="s">
        <v>938</v>
      </c>
      <c r="C1501" s="116">
        <v>20120</v>
      </c>
    </row>
    <row r="1502" spans="1:4">
      <c r="A1502" s="419" t="s">
        <v>1972</v>
      </c>
      <c r="B1502" s="419" t="s">
        <v>938</v>
      </c>
      <c r="C1502" s="403">
        <v>20031.2</v>
      </c>
    </row>
    <row r="1503" spans="1:4">
      <c r="A1503" s="419" t="s">
        <v>1980</v>
      </c>
      <c r="B1503" s="419" t="s">
        <v>937</v>
      </c>
      <c r="C1503" s="677">
        <v>48132.44</v>
      </c>
    </row>
    <row r="1504" spans="1:4">
      <c r="A1504" s="419" t="s">
        <v>1991</v>
      </c>
      <c r="B1504" s="419" t="s">
        <v>938</v>
      </c>
      <c r="C1504" s="677">
        <v>30192</v>
      </c>
      <c r="D1504" t="s">
        <v>1992</v>
      </c>
    </row>
    <row r="1506" spans="1:5">
      <c r="A1506" s="330" t="s">
        <v>1974</v>
      </c>
      <c r="B1506" s="354" t="s">
        <v>295</v>
      </c>
      <c r="C1506" s="354" t="s">
        <v>421</v>
      </c>
      <c r="D1506" s="354" t="s">
        <v>303</v>
      </c>
      <c r="E1506" s="354" t="s">
        <v>1593</v>
      </c>
    </row>
    <row r="1507" spans="1:5">
      <c r="A1507" s="330" t="s">
        <v>1976</v>
      </c>
      <c r="B1507" s="30">
        <v>0</v>
      </c>
      <c r="C1507" s="30"/>
      <c r="D1507" s="30"/>
      <c r="E1507" s="30">
        <v>59.52</v>
      </c>
    </row>
    <row r="1508" spans="1:5">
      <c r="A1508" s="330" t="s">
        <v>1977</v>
      </c>
      <c r="B1508" s="30">
        <v>170</v>
      </c>
      <c r="C1508" s="30"/>
      <c r="D1508" s="30"/>
      <c r="E1508" s="30">
        <v>164.16</v>
      </c>
    </row>
    <row r="1509" spans="1:5">
      <c r="A1509" s="330" t="s">
        <v>1978</v>
      </c>
      <c r="B1509" s="30">
        <v>50</v>
      </c>
      <c r="C1509" s="30"/>
      <c r="D1509" s="30"/>
      <c r="E1509" s="30">
        <v>52</v>
      </c>
    </row>
    <row r="1510" spans="1:5">
      <c r="A1510" s="551" t="s">
        <v>1979</v>
      </c>
      <c r="B1510" s="49">
        <v>26</v>
      </c>
      <c r="C1510" s="30"/>
      <c r="D1510" s="30"/>
      <c r="E1510" s="30">
        <v>31.72</v>
      </c>
    </row>
    <row r="1511" spans="1:5">
      <c r="A1511" s="277" t="s">
        <v>238</v>
      </c>
      <c r="B1511" s="30">
        <f t="shared" ref="B1511:D1511" si="17">SUM(B1507:B1510)</f>
        <v>246</v>
      </c>
      <c r="C1511" s="30">
        <f t="shared" si="17"/>
        <v>0</v>
      </c>
      <c r="D1511" s="30">
        <f t="shared" si="17"/>
        <v>0</v>
      </c>
      <c r="E1511" s="30">
        <f>SUM(E1507:E1510)</f>
        <v>307.39999999999998</v>
      </c>
    </row>
    <row r="1512" spans="1:5">
      <c r="A1512" s="397" t="s">
        <v>1597</v>
      </c>
      <c r="B1512" s="389"/>
      <c r="C1512" s="389"/>
      <c r="D1512" s="389"/>
      <c r="E1512" s="389"/>
    </row>
    <row r="1514" spans="1:5">
      <c r="A1514" s="330" t="s">
        <v>1981</v>
      </c>
      <c r="B1514" s="331"/>
      <c r="C1514" s="331"/>
    </row>
    <row r="1515" spans="1:5">
      <c r="A1515" s="16" t="s">
        <v>1982</v>
      </c>
      <c r="B1515" s="678">
        <v>3863.47</v>
      </c>
      <c r="C1515" s="16"/>
    </row>
    <row r="1516" spans="1:5">
      <c r="A1516" s="16" t="s">
        <v>2016</v>
      </c>
      <c r="B1516" s="678">
        <v>4185</v>
      </c>
      <c r="C1516" s="16"/>
    </row>
    <row r="1517" spans="1:5">
      <c r="A1517" s="16" t="s">
        <v>2017</v>
      </c>
      <c r="B1517" s="678">
        <v>2322.79</v>
      </c>
      <c r="C1517" s="16"/>
    </row>
    <row r="1519" spans="1:5">
      <c r="A1519" s="330" t="s">
        <v>1983</v>
      </c>
      <c r="B1519" s="530" t="s">
        <v>55</v>
      </c>
      <c r="C1519" s="530" t="s">
        <v>56</v>
      </c>
      <c r="D1519" s="530" t="s">
        <v>238</v>
      </c>
    </row>
    <row r="1520" spans="1:5">
      <c r="A1520" s="16" t="s">
        <v>1989</v>
      </c>
      <c r="B1520" s="30">
        <v>741</v>
      </c>
      <c r="C1520" s="30">
        <v>45</v>
      </c>
      <c r="D1520" s="219">
        <f>C1520+B1520</f>
        <v>786</v>
      </c>
    </row>
    <row r="1521" spans="1:4">
      <c r="A1521" s="16"/>
      <c r="B1521" s="30"/>
      <c r="C1521" s="30"/>
      <c r="D1521" s="16"/>
    </row>
    <row r="1523" spans="1:4">
      <c r="A1523" s="330" t="s">
        <v>1984</v>
      </c>
      <c r="B1523" s="331"/>
    </row>
    <row r="1524" spans="1:4">
      <c r="A1524" s="16" t="s">
        <v>1783</v>
      </c>
      <c r="B1524" s="16"/>
    </row>
    <row r="1526" spans="1:4">
      <c r="A1526" s="330" t="s">
        <v>1988</v>
      </c>
      <c r="B1526" s="530" t="s">
        <v>1933</v>
      </c>
      <c r="C1526" s="530" t="s">
        <v>2017</v>
      </c>
      <c r="D1526" s="530"/>
    </row>
    <row r="1527" spans="1:4">
      <c r="A1527" s="16" t="s">
        <v>1985</v>
      </c>
      <c r="B1527" s="3">
        <v>2</v>
      </c>
      <c r="C1527" s="30">
        <v>460</v>
      </c>
      <c r="D1527" s="16"/>
    </row>
    <row r="1528" spans="1:4">
      <c r="A1528" s="16" t="s">
        <v>1986</v>
      </c>
      <c r="B1528" s="3">
        <v>2</v>
      </c>
      <c r="C1528" s="30">
        <v>50</v>
      </c>
      <c r="D1528" s="16"/>
    </row>
    <row r="1529" spans="1:4">
      <c r="A1529" s="16" t="s">
        <v>1987</v>
      </c>
      <c r="B1529" s="3">
        <v>1</v>
      </c>
      <c r="C1529" s="30">
        <v>6</v>
      </c>
      <c r="D1529" s="16"/>
    </row>
    <row r="1530" spans="1:4">
      <c r="A1530" s="16" t="s">
        <v>1990</v>
      </c>
      <c r="B1530" s="3">
        <v>1</v>
      </c>
      <c r="C1530" s="30">
        <v>2322.79</v>
      </c>
      <c r="D1530" s="16"/>
    </row>
    <row r="1532" spans="1:4">
      <c r="A1532" s="412" t="s">
        <v>2002</v>
      </c>
      <c r="B1532" s="530" t="s">
        <v>1933</v>
      </c>
      <c r="C1532" s="413" t="s">
        <v>712</v>
      </c>
      <c r="D1532" s="413" t="s">
        <v>1104</v>
      </c>
    </row>
    <row r="1533" spans="1:4">
      <c r="A1533" s="412" t="s">
        <v>2003</v>
      </c>
      <c r="B1533" s="3">
        <v>1</v>
      </c>
      <c r="C1533" s="30">
        <v>572.89</v>
      </c>
      <c r="D1533" s="30">
        <v>1410.45</v>
      </c>
    </row>
    <row r="1534" spans="1:4">
      <c r="A1534" s="412" t="s">
        <v>2004</v>
      </c>
      <c r="B1534" s="3">
        <v>1</v>
      </c>
      <c r="C1534" s="30">
        <v>785.6</v>
      </c>
      <c r="D1534" s="30">
        <v>1775.8</v>
      </c>
    </row>
    <row r="1535" spans="1:4">
      <c r="A1535" s="412" t="s">
        <v>2005</v>
      </c>
      <c r="B1535" s="3">
        <v>1</v>
      </c>
      <c r="C1535" s="30">
        <v>26.1</v>
      </c>
      <c r="D1535" s="30">
        <v>599.29999999999995</v>
      </c>
    </row>
    <row r="1536" spans="1:4">
      <c r="A1536" s="412" t="s">
        <v>2006</v>
      </c>
      <c r="B1536" s="3">
        <v>2</v>
      </c>
      <c r="C1536" s="30">
        <v>1.37</v>
      </c>
      <c r="D1536" s="30">
        <v>110</v>
      </c>
    </row>
    <row r="1537" spans="1:7">
      <c r="A1537" s="412" t="s">
        <v>2007</v>
      </c>
      <c r="B1537" s="3">
        <v>1</v>
      </c>
      <c r="C1537" s="30">
        <v>29.86</v>
      </c>
      <c r="D1537" s="30">
        <v>15.3</v>
      </c>
    </row>
    <row r="1538" spans="1:7">
      <c r="A1538" s="882" t="s">
        <v>56</v>
      </c>
      <c r="B1538" s="882"/>
      <c r="C1538" s="30">
        <v>0</v>
      </c>
      <c r="D1538" s="30">
        <f>640.38+155</f>
        <v>795.38</v>
      </c>
    </row>
    <row r="1539" spans="1:7">
      <c r="A1539" s="903" t="s">
        <v>238</v>
      </c>
      <c r="B1539" s="903"/>
      <c r="C1539" s="573">
        <f>SUM(C1533:C1538)</f>
        <v>1415.8199999999997</v>
      </c>
      <c r="D1539" s="573">
        <f>SUM(D1533:D1538)</f>
        <v>4706.2300000000005</v>
      </c>
    </row>
    <row r="1541" spans="1:7">
      <c r="A1541" s="412" t="s">
        <v>2009</v>
      </c>
      <c r="B1541" s="530" t="s">
        <v>1933</v>
      </c>
      <c r="C1541" s="413" t="s">
        <v>1332</v>
      </c>
      <c r="D1541" s="413" t="s">
        <v>1631</v>
      </c>
      <c r="E1541" s="413" t="s">
        <v>662</v>
      </c>
      <c r="F1541" s="413" t="s">
        <v>161</v>
      </c>
      <c r="G1541" s="413" t="s">
        <v>2039</v>
      </c>
    </row>
    <row r="1542" spans="1:7">
      <c r="A1542" s="330" t="s">
        <v>2021</v>
      </c>
      <c r="B1542" s="3">
        <v>3</v>
      </c>
      <c r="C1542" s="30">
        <v>342.9</v>
      </c>
      <c r="D1542" s="282">
        <v>260.64</v>
      </c>
      <c r="E1542" s="30">
        <v>555.87</v>
      </c>
      <c r="F1542" s="30">
        <v>0</v>
      </c>
      <c r="G1542" s="16">
        <v>252.54</v>
      </c>
    </row>
    <row r="1543" spans="1:7">
      <c r="A1543" s="330" t="s">
        <v>1999</v>
      </c>
      <c r="B1543" s="3">
        <v>12</v>
      </c>
      <c r="C1543" s="30">
        <v>880.2</v>
      </c>
      <c r="D1543" s="30">
        <v>407.88</v>
      </c>
      <c r="E1543" s="30">
        <v>1523.52</v>
      </c>
      <c r="F1543" s="30">
        <v>0</v>
      </c>
      <c r="G1543" s="16"/>
    </row>
    <row r="1544" spans="1:7">
      <c r="A1544" s="330" t="s">
        <v>1994</v>
      </c>
      <c r="B1544" s="3">
        <v>12</v>
      </c>
      <c r="C1544" s="30">
        <v>75</v>
      </c>
      <c r="D1544" s="30">
        <v>83.88</v>
      </c>
      <c r="E1544" s="30">
        <v>200.16</v>
      </c>
      <c r="F1544" s="30">
        <v>0</v>
      </c>
      <c r="G1544" s="16"/>
    </row>
    <row r="1545" spans="1:7">
      <c r="A1545" s="330" t="s">
        <v>1995</v>
      </c>
      <c r="B1545" s="3">
        <v>4</v>
      </c>
      <c r="C1545" s="30">
        <v>186.2</v>
      </c>
      <c r="D1545" s="30">
        <v>103.96</v>
      </c>
      <c r="E1545" s="30">
        <v>546.4</v>
      </c>
      <c r="F1545" s="30">
        <v>0</v>
      </c>
      <c r="G1545" s="16">
        <v>491.52</v>
      </c>
    </row>
    <row r="1546" spans="1:7">
      <c r="A1546" s="330" t="s">
        <v>2022</v>
      </c>
      <c r="B1546" s="3">
        <v>12</v>
      </c>
      <c r="C1546" s="30">
        <v>3069.36</v>
      </c>
      <c r="D1546" s="30">
        <v>2303.2800000000002</v>
      </c>
      <c r="E1546" s="30">
        <v>7375.56</v>
      </c>
      <c r="F1546" s="30">
        <f>12*115.33</f>
        <v>1383.96</v>
      </c>
      <c r="G1546" s="16">
        <v>2360.04</v>
      </c>
    </row>
    <row r="1547" spans="1:7">
      <c r="A1547" s="330" t="s">
        <v>2000</v>
      </c>
      <c r="B1547" s="3">
        <v>27</v>
      </c>
      <c r="C1547" s="30">
        <v>44.82</v>
      </c>
      <c r="D1547" s="30">
        <v>51.03</v>
      </c>
      <c r="E1547" s="30">
        <v>123.93</v>
      </c>
      <c r="F1547" s="30">
        <v>0</v>
      </c>
      <c r="G1547" s="16"/>
    </row>
    <row r="1548" spans="1:7">
      <c r="A1548" s="330" t="s">
        <v>2001</v>
      </c>
      <c r="B1548" s="3">
        <v>28</v>
      </c>
      <c r="C1548" s="30">
        <v>191.8</v>
      </c>
      <c r="D1548" s="30">
        <v>139.72</v>
      </c>
      <c r="E1548" s="30">
        <v>680.12</v>
      </c>
      <c r="F1548" s="30">
        <v>0</v>
      </c>
      <c r="G1548" s="16"/>
    </row>
    <row r="1549" spans="1:7">
      <c r="A1549" s="330" t="s">
        <v>2008</v>
      </c>
      <c r="B1549" s="3">
        <v>2</v>
      </c>
      <c r="C1549" s="30">
        <v>87</v>
      </c>
      <c r="D1549" s="30">
        <v>139.97999999999999</v>
      </c>
      <c r="E1549" s="30">
        <v>239.68</v>
      </c>
      <c r="F1549" s="30">
        <v>0</v>
      </c>
      <c r="G1549" s="16"/>
    </row>
    <row r="1550" spans="1:7">
      <c r="A1550" s="843" t="s">
        <v>238</v>
      </c>
      <c r="B1550" s="844"/>
      <c r="C1550" s="30">
        <f>SUM(C1542:C1549)</f>
        <v>4877.28</v>
      </c>
      <c r="D1550" s="30">
        <f>SUM(D1542:D1549)</f>
        <v>3490.3700000000003</v>
      </c>
      <c r="E1550" s="30">
        <f>SUM(E1542:E1549)</f>
        <v>11245.240000000002</v>
      </c>
      <c r="F1550" s="30">
        <f>SUM(F1542:F1549)</f>
        <v>1383.96</v>
      </c>
      <c r="G1550" s="16"/>
    </row>
    <row r="1551" spans="1:7" ht="15" thickBot="1"/>
    <row r="1552" spans="1:7" ht="15" thickBot="1">
      <c r="A1552" s="547" t="s">
        <v>1993</v>
      </c>
      <c r="B1552" s="548" t="s">
        <v>1541</v>
      </c>
      <c r="C1552" s="554" t="s">
        <v>1135</v>
      </c>
      <c r="D1552" s="554"/>
    </row>
    <row r="1553" spans="1:6">
      <c r="A1553" s="544" t="s">
        <v>319</v>
      </c>
      <c r="B1553" s="545" t="s">
        <v>33</v>
      </c>
      <c r="C1553" s="483" t="s">
        <v>1538</v>
      </c>
      <c r="D1553" s="483" t="s">
        <v>1230</v>
      </c>
    </row>
    <row r="1554" spans="1:6">
      <c r="A1554" s="94" t="s">
        <v>1073</v>
      </c>
      <c r="B1554" s="100" t="s">
        <v>323</v>
      </c>
      <c r="C1554" s="30">
        <v>6.69</v>
      </c>
      <c r="D1554" s="16" t="s">
        <v>2026</v>
      </c>
    </row>
    <row r="1555" spans="1:6">
      <c r="A1555" s="94" t="s">
        <v>326</v>
      </c>
      <c r="B1555" s="100" t="s">
        <v>327</v>
      </c>
      <c r="C1555" s="114" t="s">
        <v>527</v>
      </c>
      <c r="D1555" s="16" t="s">
        <v>1998</v>
      </c>
    </row>
    <row r="1556" spans="1:6">
      <c r="A1556" s="94" t="s">
        <v>334</v>
      </c>
      <c r="B1556" s="100" t="s">
        <v>335</v>
      </c>
      <c r="C1556" s="30">
        <v>6.43</v>
      </c>
      <c r="D1556" s="16" t="s">
        <v>1745</v>
      </c>
    </row>
    <row r="1557" spans="1:6">
      <c r="A1557" s="3" t="s">
        <v>1542</v>
      </c>
      <c r="B1557" s="100" t="s">
        <v>1543</v>
      </c>
      <c r="C1557" s="30">
        <v>6.25</v>
      </c>
      <c r="D1557" s="16" t="s">
        <v>813</v>
      </c>
    </row>
    <row r="1558" spans="1:6">
      <c r="A1558" s="561" t="s">
        <v>1951</v>
      </c>
      <c r="B1558" s="496" t="s">
        <v>1952</v>
      </c>
      <c r="C1558" s="676">
        <v>6.04</v>
      </c>
      <c r="D1558" s="20" t="s">
        <v>1072</v>
      </c>
    </row>
    <row r="1560" spans="1:6">
      <c r="A1560" s="679" t="s">
        <v>1996</v>
      </c>
      <c r="B1560" s="413" t="s">
        <v>1811</v>
      </c>
      <c r="C1560" t="s">
        <v>2131</v>
      </c>
    </row>
    <row r="1561" spans="1:6">
      <c r="A1561" s="412" t="s">
        <v>1997</v>
      </c>
      <c r="B1561" s="16"/>
      <c r="C1561" s="271">
        <v>2469</v>
      </c>
    </row>
    <row r="1563" spans="1:6">
      <c r="A1563" s="449" t="s">
        <v>2015</v>
      </c>
      <c r="B1563" s="530" t="s">
        <v>1933</v>
      </c>
      <c r="C1563" s="530" t="s">
        <v>295</v>
      </c>
      <c r="D1563" s="530" t="s">
        <v>303</v>
      </c>
      <c r="E1563" s="530" t="s">
        <v>1593</v>
      </c>
      <c r="F1563" s="530" t="s">
        <v>421</v>
      </c>
    </row>
    <row r="1564" spans="1:6">
      <c r="A1564" s="330" t="s">
        <v>2010</v>
      </c>
      <c r="B1564" s="3">
        <v>1</v>
      </c>
      <c r="C1564" s="30">
        <v>90</v>
      </c>
      <c r="D1564" s="30">
        <v>70</v>
      </c>
      <c r="E1564" s="30">
        <v>0</v>
      </c>
      <c r="F1564" s="30">
        <v>71.05</v>
      </c>
    </row>
    <row r="1565" spans="1:6">
      <c r="A1565" s="330" t="s">
        <v>2011</v>
      </c>
      <c r="B1565" s="3">
        <v>1</v>
      </c>
      <c r="C1565" s="30">
        <v>53</v>
      </c>
      <c r="D1565" s="30">
        <v>76</v>
      </c>
      <c r="E1565" s="30">
        <v>54.12</v>
      </c>
      <c r="F1565" s="30">
        <v>72.599999999999994</v>
      </c>
    </row>
    <row r="1566" spans="1:6">
      <c r="A1566" s="330" t="s">
        <v>2012</v>
      </c>
      <c r="B1566" s="3">
        <v>1</v>
      </c>
      <c r="C1566" s="30">
        <v>50</v>
      </c>
      <c r="D1566" s="30">
        <v>50</v>
      </c>
      <c r="E1566" s="30">
        <v>42.24</v>
      </c>
      <c r="F1566" s="30">
        <v>50.9</v>
      </c>
    </row>
    <row r="1567" spans="1:6">
      <c r="A1567" s="330" t="s">
        <v>1386</v>
      </c>
      <c r="B1567" s="3">
        <v>2</v>
      </c>
      <c r="C1567" s="30">
        <v>36</v>
      </c>
      <c r="D1567" s="30">
        <v>40</v>
      </c>
      <c r="E1567" s="30">
        <v>0</v>
      </c>
      <c r="F1567" s="30">
        <f>2*20.85</f>
        <v>41.7</v>
      </c>
    </row>
    <row r="1568" spans="1:6">
      <c r="A1568" s="330" t="s">
        <v>2013</v>
      </c>
      <c r="B1568" s="3">
        <v>1</v>
      </c>
      <c r="C1568" s="30">
        <v>296</v>
      </c>
      <c r="D1568" s="30">
        <v>370</v>
      </c>
      <c r="E1568" s="30">
        <v>0</v>
      </c>
      <c r="F1568" s="30">
        <v>228.7</v>
      </c>
    </row>
    <row r="1569" spans="1:6">
      <c r="A1569" s="449" t="s">
        <v>2030</v>
      </c>
      <c r="B1569" s="390"/>
      <c r="C1569" s="577"/>
      <c r="D1569" s="577"/>
      <c r="E1569" s="577"/>
      <c r="F1569" s="577"/>
    </row>
    <row r="1570" spans="1:6">
      <c r="A1570" s="330" t="s">
        <v>2023</v>
      </c>
      <c r="B1570" s="3">
        <v>1</v>
      </c>
      <c r="C1570" s="30">
        <v>185</v>
      </c>
      <c r="D1570" s="30">
        <v>240</v>
      </c>
      <c r="E1570" s="30">
        <v>135.66</v>
      </c>
      <c r="F1570" s="30">
        <v>282</v>
      </c>
    </row>
    <row r="1571" spans="1:6">
      <c r="A1571" s="330" t="s">
        <v>2024</v>
      </c>
      <c r="B1571" s="3">
        <v>1</v>
      </c>
      <c r="C1571" s="30">
        <v>45</v>
      </c>
      <c r="D1571" s="30">
        <v>55</v>
      </c>
      <c r="E1571" s="30">
        <v>40.32</v>
      </c>
      <c r="F1571" s="30">
        <v>67.2</v>
      </c>
    </row>
    <row r="1572" spans="1:6">
      <c r="A1572" s="330" t="s">
        <v>2029</v>
      </c>
      <c r="B1572" s="3">
        <v>1</v>
      </c>
      <c r="C1572" s="30">
        <v>0</v>
      </c>
      <c r="D1572" s="30">
        <v>390</v>
      </c>
      <c r="E1572" s="30">
        <v>0</v>
      </c>
      <c r="F1572" s="30">
        <v>0</v>
      </c>
    </row>
    <row r="1573" spans="1:6">
      <c r="A1573" s="330" t="s">
        <v>2025</v>
      </c>
      <c r="B1573" s="3">
        <v>1</v>
      </c>
      <c r="C1573" s="30">
        <v>150</v>
      </c>
      <c r="D1573" s="30">
        <v>295</v>
      </c>
      <c r="E1573" s="30">
        <v>0</v>
      </c>
      <c r="F1573" s="30">
        <v>179.85</v>
      </c>
    </row>
    <row r="1574" spans="1:6">
      <c r="A1574" s="899" t="s">
        <v>238</v>
      </c>
      <c r="B1574" s="900"/>
      <c r="C1574" s="30">
        <f t="shared" ref="C1574" si="18">SUM(C1564:C1573)</f>
        <v>905</v>
      </c>
      <c r="D1574" s="30">
        <f>SUM(D1564:D1573)</f>
        <v>1586</v>
      </c>
      <c r="E1574" s="30">
        <f>SUM(E1564:E1573)</f>
        <v>272.33999999999997</v>
      </c>
      <c r="F1574" s="30">
        <f>SUM(F1564:F1573)</f>
        <v>994.00000000000011</v>
      </c>
    </row>
    <row r="1576" spans="1:6">
      <c r="A1576" s="808" t="s">
        <v>2014</v>
      </c>
      <c r="B1576" s="808" t="s">
        <v>411</v>
      </c>
      <c r="C1576" s="101" t="s">
        <v>2027</v>
      </c>
      <c r="D1576" s="101" t="s">
        <v>1297</v>
      </c>
      <c r="E1576" s="101" t="s">
        <v>1298</v>
      </c>
    </row>
    <row r="1577" spans="1:6">
      <c r="A1577" s="808"/>
      <c r="B1577" s="808"/>
      <c r="C1577" s="101" t="s">
        <v>2028</v>
      </c>
      <c r="D1577" s="101" t="s">
        <v>287</v>
      </c>
      <c r="E1577" s="101" t="s">
        <v>751</v>
      </c>
    </row>
    <row r="1578" spans="1:6">
      <c r="A1578" s="3" t="s">
        <v>490</v>
      </c>
      <c r="B1578" s="3" t="s">
        <v>491</v>
      </c>
      <c r="C1578" s="30">
        <f>5*461.43</f>
        <v>2307.15</v>
      </c>
      <c r="D1578" s="30">
        <f>5*589</f>
        <v>2945</v>
      </c>
      <c r="E1578" s="30">
        <v>3038.65</v>
      </c>
    </row>
    <row r="1579" spans="1:6">
      <c r="A1579" s="3" t="s">
        <v>739</v>
      </c>
      <c r="B1579" s="3" t="s">
        <v>491</v>
      </c>
      <c r="C1579" s="115">
        <f>5*427.44</f>
        <v>2137.1999999999998</v>
      </c>
      <c r="D1579" s="30">
        <f>5*598</f>
        <v>2990</v>
      </c>
      <c r="E1579" s="30">
        <v>3465.2</v>
      </c>
    </row>
    <row r="1580" spans="1:6">
      <c r="A1580" s="893" t="s">
        <v>260</v>
      </c>
      <c r="B1580" s="894"/>
      <c r="C1580" s="116">
        <f t="shared" ref="C1580:D1580" si="19">SUM(C1578:C1579)</f>
        <v>4444.3500000000004</v>
      </c>
      <c r="D1580" s="116">
        <f t="shared" si="19"/>
        <v>5935</v>
      </c>
      <c r="E1580" s="116">
        <f>SUM(E1578:E1579)</f>
        <v>6503.85</v>
      </c>
    </row>
    <row r="1582" spans="1:6">
      <c r="A1582" s="330" t="s">
        <v>2019</v>
      </c>
      <c r="B1582" s="530" t="s">
        <v>2018</v>
      </c>
      <c r="F1582" s="215"/>
    </row>
    <row r="1583" spans="1:6">
      <c r="A1583" s="330" t="s">
        <v>2020</v>
      </c>
      <c r="B1583" s="30">
        <v>5228</v>
      </c>
    </row>
    <row r="1584" spans="1:6" ht="15" thickBot="1"/>
    <row r="1585" spans="1:6" ht="15" thickBot="1">
      <c r="A1585" s="547" t="s">
        <v>2031</v>
      </c>
      <c r="B1585" s="594" t="s">
        <v>1072</v>
      </c>
      <c r="C1585" s="180" t="s">
        <v>1598</v>
      </c>
    </row>
    <row r="1586" spans="1:6">
      <c r="A1586" s="544" t="s">
        <v>319</v>
      </c>
      <c r="B1586" s="545" t="s">
        <v>33</v>
      </c>
      <c r="C1586" s="545" t="s">
        <v>1329</v>
      </c>
    </row>
    <row r="1587" spans="1:6">
      <c r="A1587" s="94" t="s">
        <v>334</v>
      </c>
      <c r="B1587" s="100" t="s">
        <v>335</v>
      </c>
      <c r="C1587" s="30">
        <v>8.1300000000000008</v>
      </c>
    </row>
    <row r="1588" spans="1:6" ht="15" thickBot="1">
      <c r="A1588" s="95" t="s">
        <v>1073</v>
      </c>
      <c r="B1588" s="153" t="s">
        <v>323</v>
      </c>
      <c r="C1588" s="338">
        <v>9.85</v>
      </c>
    </row>
    <row r="1589" spans="1:6">
      <c r="A1589" s="3" t="s">
        <v>1542</v>
      </c>
      <c r="B1589" s="100" t="s">
        <v>1543</v>
      </c>
      <c r="C1589" s="30">
        <v>8.5</v>
      </c>
    </row>
    <row r="1591" spans="1:6">
      <c r="A1591" s="551" t="s">
        <v>2032</v>
      </c>
      <c r="B1591" s="530" t="s">
        <v>2036</v>
      </c>
      <c r="C1591" s="530" t="s">
        <v>2037</v>
      </c>
      <c r="D1591" s="530" t="s">
        <v>1807</v>
      </c>
    </row>
    <row r="1592" spans="1:6">
      <c r="A1592" s="551" t="s">
        <v>2038</v>
      </c>
      <c r="B1592" s="30">
        <v>1025.22</v>
      </c>
      <c r="C1592" s="30">
        <v>881.2</v>
      </c>
      <c r="D1592" s="30"/>
    </row>
    <row r="1593" spans="1:6">
      <c r="A1593" s="551" t="s">
        <v>2033</v>
      </c>
      <c r="B1593" s="30">
        <v>999.32</v>
      </c>
      <c r="C1593" s="30">
        <v>841.9</v>
      </c>
      <c r="D1593" s="30"/>
    </row>
    <row r="1594" spans="1:6">
      <c r="A1594" s="551" t="s">
        <v>2035</v>
      </c>
      <c r="B1594" s="30">
        <v>64.48</v>
      </c>
      <c r="C1594" s="30">
        <v>89.44</v>
      </c>
      <c r="D1594" s="30"/>
    </row>
    <row r="1595" spans="1:6">
      <c r="A1595" s="551" t="s">
        <v>2034</v>
      </c>
      <c r="B1595" s="30">
        <v>25.12</v>
      </c>
      <c r="C1595" s="30">
        <v>24.64</v>
      </c>
      <c r="D1595" s="30"/>
    </row>
    <row r="1596" spans="1:6">
      <c r="A1596" s="277" t="s">
        <v>238</v>
      </c>
      <c r="B1596" s="311">
        <f>SUM(B1592:B1595)</f>
        <v>2114.14</v>
      </c>
      <c r="C1596" s="311">
        <f t="shared" ref="C1596" si="20">SUM(C1592:C1595)</f>
        <v>1837.18</v>
      </c>
      <c r="D1596" s="311">
        <v>3350</v>
      </c>
    </row>
    <row r="1597" spans="1:6" ht="15" thickBot="1"/>
    <row r="1598" spans="1:6" ht="15.6">
      <c r="A1598" s="348" t="s">
        <v>2040</v>
      </c>
      <c r="B1598" s="350" t="s">
        <v>221</v>
      </c>
      <c r="C1598" s="351" t="s">
        <v>638</v>
      </c>
      <c r="D1598" s="327" t="s">
        <v>295</v>
      </c>
      <c r="E1598" s="328" t="s">
        <v>420</v>
      </c>
      <c r="F1598" s="329" t="s">
        <v>421</v>
      </c>
    </row>
    <row r="1599" spans="1:6">
      <c r="A1599" s="84" t="s">
        <v>770</v>
      </c>
      <c r="B1599" s="3">
        <v>1</v>
      </c>
      <c r="C1599" s="352">
        <v>1483.46</v>
      </c>
      <c r="D1599" s="115" t="s">
        <v>226</v>
      </c>
      <c r="E1599" s="30">
        <v>205</v>
      </c>
      <c r="F1599" s="30">
        <v>244</v>
      </c>
    </row>
    <row r="1600" spans="1:6">
      <c r="A1600" s="84" t="s">
        <v>771</v>
      </c>
      <c r="B1600" s="3">
        <v>1</v>
      </c>
      <c r="C1600" s="352">
        <v>678.71</v>
      </c>
      <c r="D1600" s="30">
        <v>300</v>
      </c>
      <c r="E1600" s="30">
        <v>78</v>
      </c>
      <c r="F1600" s="115" t="s">
        <v>226</v>
      </c>
    </row>
    <row r="1601" spans="1:6">
      <c r="A1601" s="827" t="s">
        <v>260</v>
      </c>
      <c r="B1601" s="828"/>
      <c r="C1601" s="353">
        <f>C1599+C1600</f>
        <v>2162.17</v>
      </c>
      <c r="D1601" s="346">
        <f>D1600</f>
        <v>300</v>
      </c>
      <c r="E1601" s="346">
        <f>E1599+E1600</f>
        <v>283</v>
      </c>
      <c r="F1601" s="346">
        <f>F1599</f>
        <v>244</v>
      </c>
    </row>
    <row r="1604" spans="1:6" ht="15.6">
      <c r="A1604" s="349" t="s">
        <v>2041</v>
      </c>
      <c r="B1604" s="293" t="s">
        <v>221</v>
      </c>
      <c r="C1604" s="293" t="s">
        <v>638</v>
      </c>
    </row>
    <row r="1605" spans="1:6">
      <c r="A1605" s="84" t="s">
        <v>745</v>
      </c>
      <c r="B1605" s="100">
        <v>1</v>
      </c>
      <c r="C1605" s="16">
        <v>433.84</v>
      </c>
    </row>
    <row r="1606" spans="1:6">
      <c r="A1606" s="84" t="s">
        <v>746</v>
      </c>
      <c r="B1606" s="100">
        <v>1</v>
      </c>
      <c r="C1606" s="16">
        <v>473.25</v>
      </c>
    </row>
    <row r="1607" spans="1:6">
      <c r="A1607" s="804" t="s">
        <v>260</v>
      </c>
      <c r="B1607" s="804"/>
      <c r="C1607" s="347">
        <f>C1606+C1605</f>
        <v>907.08999999999992</v>
      </c>
    </row>
    <row r="1609" spans="1:6">
      <c r="A1609" s="528" t="s">
        <v>2049</v>
      </c>
      <c r="B1609" s="413" t="s">
        <v>295</v>
      </c>
      <c r="C1609" s="413" t="s">
        <v>303</v>
      </c>
      <c r="D1609" s="413" t="s">
        <v>421</v>
      </c>
      <c r="E1609" s="413" t="s">
        <v>1593</v>
      </c>
    </row>
    <row r="1610" spans="1:6">
      <c r="A1610" s="689" t="s">
        <v>2042</v>
      </c>
      <c r="B1610" s="688">
        <v>55</v>
      </c>
      <c r="C1610" s="688">
        <v>60</v>
      </c>
      <c r="D1610" s="688">
        <v>44</v>
      </c>
      <c r="E1610" s="688">
        <v>37.92</v>
      </c>
      <c r="F1610" s="690" t="s">
        <v>487</v>
      </c>
    </row>
    <row r="1611" spans="1:6">
      <c r="A1611" s="412" t="s">
        <v>2048</v>
      </c>
      <c r="B1611" s="30">
        <v>0</v>
      </c>
      <c r="C1611" s="30">
        <v>261</v>
      </c>
      <c r="D1611" s="30">
        <v>0</v>
      </c>
      <c r="E1611" s="30">
        <v>0</v>
      </c>
    </row>
    <row r="1612" spans="1:6">
      <c r="A1612" s="412" t="s">
        <v>2043</v>
      </c>
      <c r="B1612" s="30">
        <v>66</v>
      </c>
      <c r="C1612" s="30">
        <v>80</v>
      </c>
      <c r="D1612" s="30">
        <v>89.7</v>
      </c>
      <c r="E1612" s="30">
        <v>0</v>
      </c>
    </row>
    <row r="1613" spans="1:6">
      <c r="A1613" s="412" t="s">
        <v>2044</v>
      </c>
      <c r="B1613" s="30">
        <v>26</v>
      </c>
      <c r="C1613" s="30">
        <v>60</v>
      </c>
      <c r="D1613" s="30">
        <v>32</v>
      </c>
      <c r="E1613" s="30">
        <v>0</v>
      </c>
    </row>
    <row r="1614" spans="1:6">
      <c r="A1614" s="412" t="s">
        <v>2045</v>
      </c>
      <c r="B1614" s="30">
        <v>43</v>
      </c>
      <c r="C1614" s="30">
        <v>76</v>
      </c>
      <c r="D1614" s="30">
        <v>47.3</v>
      </c>
      <c r="E1614" s="30">
        <v>0</v>
      </c>
    </row>
    <row r="1615" spans="1:6">
      <c r="A1615" s="687" t="s">
        <v>238</v>
      </c>
      <c r="B1615" s="30">
        <f>SUM(B1610:B1614)</f>
        <v>190</v>
      </c>
      <c r="C1615" s="30">
        <f t="shared" ref="C1615:E1615" si="21">SUM(C1610:C1614)</f>
        <v>537</v>
      </c>
      <c r="D1615" s="30">
        <f t="shared" si="21"/>
        <v>213</v>
      </c>
      <c r="E1615" s="30">
        <f t="shared" si="21"/>
        <v>37.92</v>
      </c>
    </row>
    <row r="1617" spans="1:5">
      <c r="A1617" s="412" t="s">
        <v>2047</v>
      </c>
      <c r="B1617" s="413" t="s">
        <v>1807</v>
      </c>
      <c r="C1617" s="413" t="s">
        <v>881</v>
      </c>
      <c r="D1617" s="413" t="s">
        <v>1330</v>
      </c>
      <c r="E1617" s="413"/>
    </row>
    <row r="1618" spans="1:5">
      <c r="A1618" s="691" t="s">
        <v>2046</v>
      </c>
      <c r="B1618" s="30">
        <v>380</v>
      </c>
      <c r="C1618" s="30">
        <v>456.9</v>
      </c>
      <c r="D1618" s="30">
        <v>3262.62</v>
      </c>
      <c r="E1618" s="30"/>
    </row>
    <row r="1619" spans="1:5">
      <c r="B1619" s="14"/>
      <c r="D1619" s="49">
        <v>815.51</v>
      </c>
    </row>
    <row r="1620" spans="1:5">
      <c r="D1620" s="49"/>
    </row>
    <row r="1621" spans="1:5">
      <c r="A1621" s="412" t="s">
        <v>2050</v>
      </c>
      <c r="B1621" s="413" t="s">
        <v>790</v>
      </c>
      <c r="C1621" s="413" t="s">
        <v>1319</v>
      </c>
    </row>
    <row r="1622" spans="1:5">
      <c r="A1622" s="412" t="s">
        <v>2051</v>
      </c>
      <c r="B1622" s="30">
        <v>990</v>
      </c>
      <c r="C1622" s="30">
        <v>1968</v>
      </c>
    </row>
    <row r="1623" spans="1:5" ht="15" thickBot="1"/>
    <row r="1624" spans="1:5">
      <c r="A1624" s="692" t="s">
        <v>2052</v>
      </c>
      <c r="B1624" s="693" t="s">
        <v>1072</v>
      </c>
      <c r="C1624" s="755" t="s">
        <v>1135</v>
      </c>
      <c r="D1624" s="756"/>
    </row>
    <row r="1625" spans="1:5">
      <c r="A1625" s="483" t="s">
        <v>319</v>
      </c>
      <c r="B1625" s="483" t="s">
        <v>33</v>
      </c>
      <c r="C1625" s="483" t="s">
        <v>1538</v>
      </c>
      <c r="D1625" s="483" t="s">
        <v>820</v>
      </c>
    </row>
    <row r="1626" spans="1:5">
      <c r="A1626" s="3" t="s">
        <v>1073</v>
      </c>
      <c r="B1626" s="100" t="s">
        <v>323</v>
      </c>
      <c r="C1626" s="30">
        <v>6.75</v>
      </c>
      <c r="D1626" s="16"/>
    </row>
    <row r="1627" spans="1:5">
      <c r="A1627" s="3" t="s">
        <v>326</v>
      </c>
      <c r="B1627" s="100" t="s">
        <v>327</v>
      </c>
      <c r="C1627" s="114">
        <v>6.68</v>
      </c>
      <c r="D1627" s="16" t="s">
        <v>2054</v>
      </c>
    </row>
    <row r="1628" spans="1:5">
      <c r="A1628" s="3" t="s">
        <v>330</v>
      </c>
      <c r="B1628" s="100" t="s">
        <v>331</v>
      </c>
      <c r="C1628" s="30"/>
      <c r="D1628" s="16"/>
    </row>
    <row r="1629" spans="1:5">
      <c r="A1629" s="3" t="s">
        <v>334</v>
      </c>
      <c r="B1629" s="100" t="s">
        <v>335</v>
      </c>
      <c r="C1629" s="30">
        <v>6.67</v>
      </c>
      <c r="D1629" s="16" t="s">
        <v>1536</v>
      </c>
    </row>
    <row r="1630" spans="1:5">
      <c r="A1630" s="3" t="s">
        <v>693</v>
      </c>
      <c r="B1630" s="100" t="s">
        <v>694</v>
      </c>
      <c r="C1630" s="114">
        <v>6.89</v>
      </c>
      <c r="D1630" s="16" t="s">
        <v>2053</v>
      </c>
    </row>
    <row r="1631" spans="1:5">
      <c r="A1631" s="3" t="s">
        <v>1951</v>
      </c>
      <c r="B1631" s="100" t="s">
        <v>1952</v>
      </c>
      <c r="C1631" s="116"/>
      <c r="D1631" s="16"/>
    </row>
    <row r="1633" spans="1:6">
      <c r="A1633" s="551" t="s">
        <v>2055</v>
      </c>
      <c r="B1633" s="530" t="s">
        <v>1933</v>
      </c>
      <c r="C1633" s="530" t="s">
        <v>2058</v>
      </c>
      <c r="D1633" s="530" t="s">
        <v>238</v>
      </c>
    </row>
    <row r="1634" spans="1:6">
      <c r="A1634" s="551" t="s">
        <v>2056</v>
      </c>
      <c r="B1634" s="3">
        <v>16</v>
      </c>
      <c r="C1634" s="16">
        <v>44.82</v>
      </c>
      <c r="D1634" s="16">
        <f>C1634*B1634</f>
        <v>717.12</v>
      </c>
    </row>
    <row r="1635" spans="1:6">
      <c r="A1635" s="551" t="s">
        <v>2057</v>
      </c>
      <c r="B1635" s="3">
        <v>32</v>
      </c>
      <c r="C1635" s="16">
        <v>12.53</v>
      </c>
      <c r="D1635" s="16">
        <f>C1635*B1635</f>
        <v>400.96</v>
      </c>
    </row>
    <row r="1636" spans="1:6">
      <c r="A1636" s="795" t="s">
        <v>238</v>
      </c>
      <c r="B1636" s="795"/>
      <c r="C1636" s="795"/>
      <c r="D1636" s="347">
        <f>SUM(D1634:D1635)</f>
        <v>1118.08</v>
      </c>
    </row>
    <row r="1638" spans="1:6">
      <c r="A1638" s="551" t="s">
        <v>2077</v>
      </c>
      <c r="B1638" s="530" t="s">
        <v>1933</v>
      </c>
      <c r="C1638" s="530" t="s">
        <v>1659</v>
      </c>
      <c r="D1638" s="530" t="s">
        <v>1661</v>
      </c>
    </row>
    <row r="1639" spans="1:6">
      <c r="A1639" s="551" t="s">
        <v>2072</v>
      </c>
      <c r="B1639" s="3" t="s">
        <v>2075</v>
      </c>
      <c r="C1639" s="30">
        <v>1207.26</v>
      </c>
      <c r="D1639" s="16">
        <f>15*47.07</f>
        <v>706.05</v>
      </c>
      <c r="F1639" s="490"/>
    </row>
    <row r="1640" spans="1:6">
      <c r="C1640" s="490"/>
    </row>
    <row r="1641" spans="1:6">
      <c r="A1641" s="551" t="s">
        <v>2078</v>
      </c>
      <c r="B1641" s="530" t="s">
        <v>1933</v>
      </c>
      <c r="C1641" s="530" t="s">
        <v>2074</v>
      </c>
    </row>
    <row r="1642" spans="1:6">
      <c r="A1642" s="551" t="s">
        <v>2073</v>
      </c>
      <c r="B1642" s="3">
        <v>8</v>
      </c>
      <c r="C1642" s="30">
        <v>2088</v>
      </c>
    </row>
    <row r="1645" spans="1:6">
      <c r="A1645" s="412" t="s">
        <v>2060</v>
      </c>
      <c r="B1645" s="694" t="s">
        <v>2059</v>
      </c>
      <c r="C1645" s="413" t="s">
        <v>2062</v>
      </c>
      <c r="D1645" s="413" t="s">
        <v>56</v>
      </c>
      <c r="E1645" s="413" t="s">
        <v>820</v>
      </c>
    </row>
    <row r="1646" spans="1:6">
      <c r="A1646" s="679" t="s">
        <v>2061</v>
      </c>
      <c r="B1646" s="30">
        <v>6800</v>
      </c>
      <c r="C1646" s="100" t="s">
        <v>1751</v>
      </c>
      <c r="D1646" s="100"/>
      <c r="E1646" s="100"/>
    </row>
    <row r="1647" spans="1:6">
      <c r="A1647" s="679" t="s">
        <v>2064</v>
      </c>
      <c r="B1647" s="30">
        <v>6014</v>
      </c>
      <c r="C1647" s="100" t="s">
        <v>1750</v>
      </c>
      <c r="D1647" s="100" t="s">
        <v>1535</v>
      </c>
      <c r="E1647" s="696" t="s">
        <v>2063</v>
      </c>
    </row>
    <row r="1648" spans="1:6">
      <c r="A1648" s="679" t="s">
        <v>2065</v>
      </c>
      <c r="B1648" s="30">
        <v>7280</v>
      </c>
      <c r="C1648" s="100" t="s">
        <v>2068</v>
      </c>
      <c r="D1648" s="100" t="s">
        <v>1535</v>
      </c>
      <c r="E1648" s="100"/>
    </row>
    <row r="1649" spans="1:6">
      <c r="A1649" s="679" t="s">
        <v>2066</v>
      </c>
      <c r="B1649" s="30">
        <v>0</v>
      </c>
      <c r="C1649" s="100"/>
      <c r="D1649" s="100"/>
      <c r="E1649" s="100"/>
    </row>
    <row r="1650" spans="1:6">
      <c r="A1650" s="695" t="s">
        <v>2067</v>
      </c>
      <c r="B1650" s="30">
        <v>8490</v>
      </c>
      <c r="C1650" s="16"/>
      <c r="D1650" s="100" t="s">
        <v>1535</v>
      </c>
      <c r="E1650" s="16"/>
    </row>
    <row r="1652" spans="1:6">
      <c r="A1652" s="412" t="s">
        <v>2069</v>
      </c>
      <c r="B1652" s="413" t="s">
        <v>662</v>
      </c>
      <c r="C1652" s="117"/>
      <c r="D1652" s="117"/>
      <c r="E1652" s="117"/>
    </row>
    <row r="1653" spans="1:6">
      <c r="A1653" s="412" t="s">
        <v>2070</v>
      </c>
      <c r="B1653" s="30">
        <v>899.94</v>
      </c>
      <c r="C1653" s="49"/>
      <c r="D1653" s="49"/>
      <c r="E1653" s="49"/>
    </row>
    <row r="1654" spans="1:6">
      <c r="A1654" s="412" t="s">
        <v>2071</v>
      </c>
      <c r="B1654" s="30">
        <v>1042.24</v>
      </c>
    </row>
    <row r="1656" spans="1:6">
      <c r="A1656" s="551" t="s">
        <v>2076</v>
      </c>
      <c r="B1656" s="530" t="s">
        <v>2036</v>
      </c>
      <c r="C1656" s="530" t="s">
        <v>2037</v>
      </c>
      <c r="D1656" s="530" t="s">
        <v>1807</v>
      </c>
      <c r="E1656" s="530" t="s">
        <v>1330</v>
      </c>
      <c r="F1656" s="530" t="s">
        <v>2037</v>
      </c>
    </row>
    <row r="1657" spans="1:6">
      <c r="A1657" s="551" t="s">
        <v>2079</v>
      </c>
      <c r="B1657" s="30">
        <v>520.14</v>
      </c>
      <c r="C1657" s="30">
        <v>405.35</v>
      </c>
      <c r="D1657" s="30">
        <v>960</v>
      </c>
      <c r="E1657" s="30">
        <v>730</v>
      </c>
      <c r="F1657" s="30">
        <v>405.35</v>
      </c>
    </row>
    <row r="1658" spans="1:6">
      <c r="A1658" s="551" t="s">
        <v>2134</v>
      </c>
      <c r="B1658" s="30">
        <v>423.22</v>
      </c>
      <c r="C1658" s="30">
        <v>331.89</v>
      </c>
      <c r="D1658" s="30">
        <v>798.52</v>
      </c>
      <c r="E1658" s="30">
        <v>579</v>
      </c>
      <c r="F1658" s="30">
        <v>331.89</v>
      </c>
    </row>
    <row r="1659" spans="1:6">
      <c r="A1659" s="551" t="s">
        <v>2080</v>
      </c>
      <c r="B1659" s="30">
        <v>63.28</v>
      </c>
      <c r="C1659" s="30">
        <v>86.52</v>
      </c>
      <c r="D1659" s="30">
        <v>91.56</v>
      </c>
      <c r="E1659" s="30">
        <f>28*4</f>
        <v>112</v>
      </c>
      <c r="F1659" s="30">
        <v>86.52</v>
      </c>
    </row>
    <row r="1660" spans="1:6">
      <c r="A1660" s="551" t="s">
        <v>2081</v>
      </c>
      <c r="B1660" s="30">
        <v>31.36</v>
      </c>
      <c r="C1660" s="30">
        <v>27.44</v>
      </c>
      <c r="D1660" s="30">
        <v>49.84</v>
      </c>
      <c r="E1660" s="30">
        <f>28*1.5</f>
        <v>42</v>
      </c>
      <c r="F1660" s="30">
        <v>27.44</v>
      </c>
    </row>
    <row r="1661" spans="1:6">
      <c r="A1661" s="277" t="s">
        <v>238</v>
      </c>
      <c r="B1661" s="311">
        <f>SUM(B1657:B1660)</f>
        <v>1038</v>
      </c>
      <c r="C1661" s="311">
        <f t="shared" ref="C1661" si="22">SUM(C1657:C1660)</f>
        <v>851.2</v>
      </c>
      <c r="D1661" s="311">
        <f>SUM(D1657:D1660)</f>
        <v>1899.9199999999998</v>
      </c>
      <c r="E1661" s="315">
        <f>SUM(E1657:E1660)</f>
        <v>1463</v>
      </c>
      <c r="F1661" s="311">
        <f t="shared" ref="F1661" si="23">SUM(F1657:F1660)</f>
        <v>851.2</v>
      </c>
    </row>
    <row r="1662" spans="1:6" ht="15" thickBot="1"/>
    <row r="1663" spans="1:6" ht="15" thickBot="1">
      <c r="A1663" s="547" t="s">
        <v>2201</v>
      </c>
      <c r="B1663" s="548" t="s">
        <v>1541</v>
      </c>
      <c r="C1663" s="904" t="s">
        <v>346</v>
      </c>
      <c r="D1663" s="905"/>
    </row>
    <row r="1664" spans="1:6">
      <c r="A1664" s="544" t="s">
        <v>319</v>
      </c>
      <c r="B1664" s="545" t="s">
        <v>33</v>
      </c>
      <c r="C1664" s="483" t="s">
        <v>1538</v>
      </c>
      <c r="D1664" s="483" t="s">
        <v>1230</v>
      </c>
    </row>
    <row r="1665" spans="1:5">
      <c r="A1665" s="94" t="s">
        <v>1073</v>
      </c>
      <c r="B1665" s="100" t="s">
        <v>323</v>
      </c>
      <c r="C1665" s="30">
        <v>6.65</v>
      </c>
      <c r="D1665" s="16" t="s">
        <v>2085</v>
      </c>
    </row>
    <row r="1666" spans="1:5">
      <c r="A1666" s="94" t="s">
        <v>326</v>
      </c>
      <c r="B1666" s="100" t="s">
        <v>327</v>
      </c>
      <c r="C1666" s="114" t="s">
        <v>527</v>
      </c>
      <c r="D1666" s="16" t="s">
        <v>1998</v>
      </c>
    </row>
    <row r="1667" spans="1:5">
      <c r="A1667" s="94" t="s">
        <v>334</v>
      </c>
      <c r="B1667" s="100" t="s">
        <v>335</v>
      </c>
      <c r="C1667" s="30">
        <v>6.45</v>
      </c>
      <c r="D1667" s="16" t="s">
        <v>1745</v>
      </c>
    </row>
    <row r="1668" spans="1:5">
      <c r="A1668" s="3" t="s">
        <v>1542</v>
      </c>
      <c r="B1668" s="100" t="s">
        <v>1543</v>
      </c>
      <c r="C1668" s="30">
        <v>6.36</v>
      </c>
      <c r="D1668" s="16" t="s">
        <v>813</v>
      </c>
    </row>
    <row r="1670" spans="1:5">
      <c r="A1670" s="528" t="s">
        <v>2082</v>
      </c>
      <c r="B1670" s="16" t="s">
        <v>2130</v>
      </c>
    </row>
    <row r="1671" spans="1:5">
      <c r="A1671" s="16" t="s">
        <v>2083</v>
      </c>
      <c r="B1671" s="16"/>
    </row>
    <row r="1673" spans="1:5">
      <c r="A1673" s="412" t="s">
        <v>2088</v>
      </c>
      <c r="B1673" s="697" t="s">
        <v>2086</v>
      </c>
      <c r="C1673" s="697" t="s">
        <v>2084</v>
      </c>
      <c r="D1673" s="413" t="s">
        <v>820</v>
      </c>
    </row>
    <row r="1674" spans="1:5">
      <c r="A1674" s="84" t="s">
        <v>2109</v>
      </c>
      <c r="B1674" s="30">
        <v>8345.06</v>
      </c>
      <c r="C1674" s="219">
        <f>3*B1674</f>
        <v>25035.18</v>
      </c>
      <c r="D1674" s="16" t="s">
        <v>1925</v>
      </c>
    </row>
    <row r="1675" spans="1:5">
      <c r="A1675" s="84" t="s">
        <v>2110</v>
      </c>
      <c r="B1675" s="30">
        <v>835.4</v>
      </c>
      <c r="C1675" s="219">
        <f>33*B1675</f>
        <v>27568.2</v>
      </c>
      <c r="D1675" s="16" t="s">
        <v>1925</v>
      </c>
    </row>
    <row r="1676" spans="1:5">
      <c r="A1676" s="84" t="s">
        <v>2111</v>
      </c>
      <c r="B1676" s="30">
        <v>4424.63</v>
      </c>
      <c r="C1676" s="219">
        <f>3*B1676</f>
        <v>13273.89</v>
      </c>
      <c r="D1676" s="16" t="s">
        <v>2087</v>
      </c>
    </row>
    <row r="1677" spans="1:5">
      <c r="A1677" s="84" t="s">
        <v>2112</v>
      </c>
      <c r="B1677" s="30">
        <v>449.95</v>
      </c>
      <c r="C1677" s="219">
        <f>33*B1677</f>
        <v>14848.35</v>
      </c>
      <c r="D1677" s="16" t="s">
        <v>2087</v>
      </c>
    </row>
    <row r="1679" spans="1:5">
      <c r="A1679" s="588" t="s">
        <v>2089</v>
      </c>
      <c r="B1679" s="588" t="s">
        <v>1340</v>
      </c>
      <c r="C1679" s="218"/>
      <c r="D1679" s="101" t="s">
        <v>820</v>
      </c>
      <c r="E1679" s="101" t="s">
        <v>1139</v>
      </c>
    </row>
    <row r="1680" spans="1:5">
      <c r="A1680" s="101" t="s">
        <v>1341</v>
      </c>
      <c r="B1680" s="101" t="s">
        <v>2113</v>
      </c>
      <c r="C1680" s="30">
        <v>5117.78</v>
      </c>
      <c r="D1680" s="16" t="s">
        <v>2096</v>
      </c>
      <c r="E1680" s="564" t="s">
        <v>2114</v>
      </c>
    </row>
    <row r="1681" spans="1:5">
      <c r="A1681" s="101" t="s">
        <v>667</v>
      </c>
      <c r="B1681" s="101" t="s">
        <v>2103</v>
      </c>
      <c r="C1681" s="30">
        <v>9075</v>
      </c>
      <c r="D1681" s="84"/>
      <c r="E1681" s="564" t="s">
        <v>2097</v>
      </c>
    </row>
    <row r="1682" spans="1:5">
      <c r="A1682" s="101" t="s">
        <v>1343</v>
      </c>
      <c r="B1682" s="554" t="s">
        <v>2102</v>
      </c>
      <c r="C1682" s="30"/>
      <c r="D1682" s="84"/>
      <c r="E1682" s="564"/>
    </row>
    <row r="1683" spans="1:5">
      <c r="A1683" s="101" t="s">
        <v>1726</v>
      </c>
      <c r="B1683" s="218" t="s">
        <v>2098</v>
      </c>
      <c r="C1683" s="30">
        <v>17225</v>
      </c>
      <c r="D1683" s="16" t="s">
        <v>2099</v>
      </c>
      <c r="E1683" s="16"/>
    </row>
    <row r="1684" spans="1:5">
      <c r="A1684" s="101" t="s">
        <v>189</v>
      </c>
      <c r="B1684" s="218" t="s">
        <v>2094</v>
      </c>
      <c r="C1684" s="116">
        <v>4950</v>
      </c>
      <c r="D1684" s="16" t="s">
        <v>2090</v>
      </c>
      <c r="E1684" s="16"/>
    </row>
    <row r="1685" spans="1:5">
      <c r="A1685" s="101" t="s">
        <v>2091</v>
      </c>
      <c r="B1685" s="218" t="s">
        <v>2092</v>
      </c>
      <c r="C1685" s="116">
        <v>1200</v>
      </c>
      <c r="D1685" s="16"/>
      <c r="E1685" s="16" t="s">
        <v>2093</v>
      </c>
    </row>
    <row r="1686" spans="1:5">
      <c r="A1686" s="101" t="s">
        <v>2091</v>
      </c>
      <c r="B1686" s="218"/>
      <c r="C1686" s="116"/>
      <c r="D1686" s="16"/>
      <c r="E1686" s="16"/>
    </row>
    <row r="1687" spans="1:5">
      <c r="A1687" s="101" t="s">
        <v>884</v>
      </c>
      <c r="B1687" s="218" t="s">
        <v>2095</v>
      </c>
      <c r="C1687" s="30">
        <v>5100</v>
      </c>
      <c r="D1687" s="16" t="s">
        <v>2096</v>
      </c>
      <c r="E1687" s="16" t="s">
        <v>2097</v>
      </c>
    </row>
    <row r="1688" spans="1:5">
      <c r="A1688" s="101" t="s">
        <v>2107</v>
      </c>
      <c r="B1688" s="554" t="s">
        <v>2115</v>
      </c>
      <c r="C1688" s="30">
        <v>5632.94</v>
      </c>
      <c r="D1688" s="16"/>
      <c r="E1688" s="16"/>
    </row>
    <row r="1689" spans="1:5">
      <c r="A1689" s="101" t="s">
        <v>2107</v>
      </c>
      <c r="B1689" s="554" t="s">
        <v>2116</v>
      </c>
      <c r="C1689" s="30">
        <v>5579.2</v>
      </c>
      <c r="D1689" s="16"/>
      <c r="E1689" s="16"/>
    </row>
    <row r="1690" spans="1:5">
      <c r="A1690" s="101" t="s">
        <v>2100</v>
      </c>
      <c r="B1690" s="218" t="s">
        <v>2101</v>
      </c>
      <c r="C1690" s="30"/>
      <c r="D1690" s="16"/>
      <c r="E1690" s="16"/>
    </row>
    <row r="1692" spans="1:5">
      <c r="A1692" s="554" t="s">
        <v>2108</v>
      </c>
      <c r="B1692" s="218" t="s">
        <v>2104</v>
      </c>
    </row>
    <row r="1693" spans="1:5">
      <c r="A1693" s="554" t="s">
        <v>2105</v>
      </c>
      <c r="B1693" s="30">
        <v>690</v>
      </c>
    </row>
    <row r="1694" spans="1:5">
      <c r="A1694" s="554" t="s">
        <v>2106</v>
      </c>
      <c r="B1694" s="30">
        <v>400</v>
      </c>
    </row>
    <row r="1695" spans="1:5">
      <c r="A1695" s="554" t="s">
        <v>2118</v>
      </c>
      <c r="B1695" s="30">
        <v>580</v>
      </c>
    </row>
    <row r="1696" spans="1:5">
      <c r="A1696" s="554" t="s">
        <v>2121</v>
      </c>
      <c r="B1696" s="30">
        <v>480</v>
      </c>
    </row>
    <row r="1698" spans="1:7">
      <c r="A1698" s="554" t="s">
        <v>2117</v>
      </c>
      <c r="B1698" s="101" t="s">
        <v>55</v>
      </c>
    </row>
    <row r="1699" spans="1:7">
      <c r="A1699" s="554" t="s">
        <v>2119</v>
      </c>
      <c r="B1699" s="30">
        <v>229</v>
      </c>
      <c r="C1699" t="s">
        <v>1074</v>
      </c>
    </row>
    <row r="1700" spans="1:7">
      <c r="A1700" s="218" t="s">
        <v>2120</v>
      </c>
      <c r="B1700" s="30">
        <v>497.4</v>
      </c>
    </row>
    <row r="1701" spans="1:7">
      <c r="A1701" s="554" t="s">
        <v>2122</v>
      </c>
      <c r="B1701" s="30">
        <v>546.9</v>
      </c>
    </row>
    <row r="1702" spans="1:7">
      <c r="A1702" s="554" t="s">
        <v>2123</v>
      </c>
      <c r="B1702" s="30">
        <v>271.32</v>
      </c>
    </row>
    <row r="1703" spans="1:7">
      <c r="A1703" s="554" t="s">
        <v>2124</v>
      </c>
      <c r="B1703" s="30">
        <v>313.77</v>
      </c>
    </row>
    <row r="1704" spans="1:7">
      <c r="A1704" s="554" t="s">
        <v>2125</v>
      </c>
      <c r="B1704" s="30">
        <v>306.48</v>
      </c>
    </row>
    <row r="1705" spans="1:7">
      <c r="A1705" s="554" t="s">
        <v>2126</v>
      </c>
      <c r="B1705" s="30">
        <v>359.09</v>
      </c>
      <c r="C1705" t="s">
        <v>1074</v>
      </c>
    </row>
    <row r="1707" spans="1:7">
      <c r="A1707" s="554" t="s">
        <v>2127</v>
      </c>
      <c r="B1707" s="101" t="s">
        <v>421</v>
      </c>
    </row>
    <row r="1708" spans="1:7">
      <c r="A1708" s="698" t="s">
        <v>2128</v>
      </c>
      <c r="B1708" s="116">
        <v>134</v>
      </c>
    </row>
    <row r="1710" spans="1:7">
      <c r="A1710" s="218" t="s">
        <v>2135</v>
      </c>
      <c r="B1710" s="101" t="s">
        <v>1933</v>
      </c>
      <c r="C1710" s="101" t="s">
        <v>305</v>
      </c>
      <c r="D1710" s="101" t="s">
        <v>2136</v>
      </c>
      <c r="E1710" s="218" t="s">
        <v>2135</v>
      </c>
      <c r="F1710" s="101" t="s">
        <v>1933</v>
      </c>
      <c r="G1710" s="101" t="s">
        <v>305</v>
      </c>
    </row>
    <row r="1711" spans="1:7">
      <c r="A1711" s="218" t="s">
        <v>2140</v>
      </c>
      <c r="B1711" s="699">
        <v>2546</v>
      </c>
      <c r="C1711" s="30">
        <v>8226.81</v>
      </c>
      <c r="D1711" s="30"/>
      <c r="E1711" s="218" t="s">
        <v>2140</v>
      </c>
      <c r="F1711" s="699">
        <v>2546</v>
      </c>
      <c r="G1711" s="30">
        <v>8226.81</v>
      </c>
    </row>
    <row r="1712" spans="1:7">
      <c r="A1712" s="218" t="s">
        <v>2139</v>
      </c>
      <c r="B1712" s="699">
        <v>2546</v>
      </c>
      <c r="C1712" s="30">
        <v>7943.52</v>
      </c>
      <c r="D1712" s="16"/>
      <c r="E1712" s="218" t="s">
        <v>2310</v>
      </c>
      <c r="F1712" s="100">
        <v>205</v>
      </c>
      <c r="G1712" s="30">
        <v>943</v>
      </c>
    </row>
    <row r="1713" spans="1:9">
      <c r="A1713" s="218" t="s">
        <v>2138</v>
      </c>
      <c r="B1713" s="100">
        <v>205</v>
      </c>
      <c r="C1713" s="30">
        <v>943</v>
      </c>
      <c r="D1713" s="16"/>
    </row>
    <row r="1715" spans="1:9">
      <c r="A1715" s="218" t="s">
        <v>2141</v>
      </c>
      <c r="B1715" s="101" t="s">
        <v>1811</v>
      </c>
      <c r="C1715" s="101" t="s">
        <v>881</v>
      </c>
    </row>
    <row r="1716" spans="1:9">
      <c r="A1716" s="218" t="s">
        <v>2137</v>
      </c>
      <c r="B1716" s="30">
        <v>335</v>
      </c>
      <c r="C1716" s="30">
        <v>406.4</v>
      </c>
    </row>
    <row r="1718" spans="1:9">
      <c r="A1718" s="218" t="s">
        <v>2129</v>
      </c>
      <c r="B1718" s="101" t="s">
        <v>179</v>
      </c>
    </row>
    <row r="1719" spans="1:9">
      <c r="A1719" s="218" t="s">
        <v>2132</v>
      </c>
      <c r="B1719" s="30">
        <v>190.59</v>
      </c>
    </row>
    <row r="1720" spans="1:9">
      <c r="A1720" s="218" t="s">
        <v>2133</v>
      </c>
      <c r="B1720" s="30">
        <v>141.9</v>
      </c>
    </row>
    <row r="1721" spans="1:9">
      <c r="A1721" s="218" t="s">
        <v>881</v>
      </c>
      <c r="B1721" s="30">
        <v>159</v>
      </c>
    </row>
    <row r="1723" spans="1:9">
      <c r="A1723" s="218" t="s">
        <v>2142</v>
      </c>
      <c r="B1723" s="101" t="s">
        <v>891</v>
      </c>
      <c r="C1723" s="101" t="s">
        <v>295</v>
      </c>
      <c r="D1723" s="101" t="s">
        <v>303</v>
      </c>
      <c r="E1723" s="101" t="s">
        <v>421</v>
      </c>
      <c r="F1723" s="101" t="s">
        <v>2148</v>
      </c>
      <c r="G1723" s="755" t="s">
        <v>2239</v>
      </c>
      <c r="H1723" s="756"/>
    </row>
    <row r="1724" spans="1:9">
      <c r="A1724" s="218" t="s">
        <v>2145</v>
      </c>
      <c r="B1724" s="116">
        <v>1420</v>
      </c>
      <c r="C1724" s="30">
        <v>1251</v>
      </c>
      <c r="D1724" s="30">
        <v>1710</v>
      </c>
      <c r="E1724" s="30"/>
      <c r="F1724" s="30">
        <v>0</v>
      </c>
      <c r="G1724" s="30">
        <v>89.68</v>
      </c>
      <c r="H1724" t="s">
        <v>2240</v>
      </c>
      <c r="I1724" s="754" t="s">
        <v>2242</v>
      </c>
    </row>
    <row r="1725" spans="1:9">
      <c r="A1725" s="218" t="s">
        <v>2146</v>
      </c>
      <c r="B1725" s="116">
        <v>720</v>
      </c>
      <c r="C1725" s="30">
        <v>0</v>
      </c>
      <c r="D1725" s="30">
        <v>0</v>
      </c>
      <c r="E1725" s="30"/>
      <c r="F1725" s="30">
        <v>0</v>
      </c>
      <c r="G1725" s="30">
        <v>54.3</v>
      </c>
      <c r="H1725" t="s">
        <v>2240</v>
      </c>
      <c r="I1725" s="754"/>
    </row>
    <row r="1726" spans="1:9">
      <c r="A1726" s="218" t="s">
        <v>2147</v>
      </c>
      <c r="B1726" s="116">
        <v>365</v>
      </c>
      <c r="C1726" s="30">
        <v>0</v>
      </c>
      <c r="D1726" s="30">
        <v>0</v>
      </c>
      <c r="E1726" s="30"/>
      <c r="F1726" s="30">
        <v>0</v>
      </c>
      <c r="G1726" s="30">
        <v>182.07</v>
      </c>
      <c r="H1726" t="s">
        <v>2241</v>
      </c>
      <c r="I1726" t="s">
        <v>2243</v>
      </c>
    </row>
    <row r="1727" spans="1:9">
      <c r="A1727" s="896" t="s">
        <v>1407</v>
      </c>
      <c r="B1727" s="896"/>
      <c r="C1727" s="896"/>
      <c r="D1727" s="896"/>
      <c r="E1727" s="896"/>
      <c r="F1727" s="896"/>
      <c r="G1727" s="896"/>
      <c r="H1727" s="117"/>
    </row>
    <row r="1728" spans="1:9">
      <c r="A1728" s="218" t="s">
        <v>2144</v>
      </c>
      <c r="B1728" s="30">
        <v>190</v>
      </c>
      <c r="C1728" s="30">
        <v>0</v>
      </c>
      <c r="D1728" s="30">
        <v>0</v>
      </c>
      <c r="E1728" s="30"/>
      <c r="F1728" s="30">
        <v>250</v>
      </c>
      <c r="G1728" s="30">
        <v>0</v>
      </c>
    </row>
    <row r="1729" spans="1:9">
      <c r="A1729" s="218" t="s">
        <v>2143</v>
      </c>
      <c r="B1729" s="30">
        <v>230</v>
      </c>
      <c r="C1729" s="30">
        <v>343</v>
      </c>
      <c r="D1729" s="30">
        <v>210</v>
      </c>
      <c r="E1729" s="30"/>
      <c r="F1729" s="30">
        <v>350</v>
      </c>
      <c r="G1729" s="30">
        <v>0</v>
      </c>
    </row>
    <row r="1730" spans="1:9">
      <c r="A1730" s="700" t="s">
        <v>238</v>
      </c>
      <c r="B1730" s="219">
        <f>B1724+B1725+B1726+B1728+B1729</f>
        <v>2925</v>
      </c>
      <c r="C1730" s="219">
        <f t="shared" ref="C1730:D1730" si="24">C1724+C1725+C1726+C1728+C1729</f>
        <v>1594</v>
      </c>
      <c r="D1730" s="219">
        <f t="shared" si="24"/>
        <v>1920</v>
      </c>
      <c r="E1730" s="219"/>
      <c r="F1730" s="219">
        <f>F1728+F1729</f>
        <v>600</v>
      </c>
      <c r="G1730" s="30">
        <v>0</v>
      </c>
    </row>
    <row r="1732" spans="1:9">
      <c r="A1732" s="218" t="s">
        <v>2189</v>
      </c>
      <c r="B1732" s="101" t="s">
        <v>1593</v>
      </c>
      <c r="C1732" s="101" t="s">
        <v>1428</v>
      </c>
      <c r="D1732" s="101" t="s">
        <v>2197</v>
      </c>
      <c r="E1732" s="101" t="s">
        <v>622</v>
      </c>
      <c r="H1732" s="1"/>
      <c r="I1732" s="1"/>
    </row>
    <row r="1733" spans="1:9">
      <c r="A1733" s="218" t="s">
        <v>2153</v>
      </c>
      <c r="B1733" s="30">
        <f>25.44*2</f>
        <v>50.88</v>
      </c>
      <c r="C1733" s="30">
        <v>69.28</v>
      </c>
      <c r="D1733" s="30">
        <v>84.4</v>
      </c>
      <c r="E1733" s="30">
        <v>29</v>
      </c>
      <c r="H1733" s="233"/>
    </row>
    <row r="1734" spans="1:9">
      <c r="A1734" s="218" t="s">
        <v>2151</v>
      </c>
      <c r="B1734" s="30">
        <f>2*118.56</f>
        <v>237.12</v>
      </c>
      <c r="C1734" s="30">
        <v>131.46</v>
      </c>
      <c r="D1734" s="30">
        <v>145.4</v>
      </c>
      <c r="E1734" s="30">
        <v>148</v>
      </c>
      <c r="H1734" s="233"/>
    </row>
    <row r="1735" spans="1:9">
      <c r="A1735" s="218" t="s">
        <v>2152</v>
      </c>
      <c r="B1735" s="30">
        <f>72.96*2</f>
        <v>145.91999999999999</v>
      </c>
      <c r="C1735" s="30">
        <v>57.32</v>
      </c>
      <c r="D1735" s="30">
        <v>52.9</v>
      </c>
      <c r="E1735" s="30">
        <v>48</v>
      </c>
      <c r="H1735" s="233"/>
    </row>
    <row r="1736" spans="1:9">
      <c r="A1736" s="218" t="s">
        <v>2150</v>
      </c>
      <c r="B1736" s="30">
        <f>2*69.6</f>
        <v>139.19999999999999</v>
      </c>
      <c r="C1736" s="30">
        <v>114.94</v>
      </c>
      <c r="D1736" s="30">
        <v>128.80000000000001</v>
      </c>
      <c r="E1736" s="30">
        <v>130</v>
      </c>
      <c r="H1736" s="233"/>
    </row>
    <row r="1737" spans="1:9">
      <c r="A1737" s="218" t="s">
        <v>2156</v>
      </c>
      <c r="B1737" s="30">
        <f>29.99*3</f>
        <v>89.97</v>
      </c>
      <c r="C1737" s="30">
        <v>89.22</v>
      </c>
      <c r="D1737" s="30">
        <v>95.4</v>
      </c>
      <c r="E1737" s="30">
        <v>96</v>
      </c>
      <c r="H1737" s="233"/>
    </row>
    <row r="1738" spans="1:9">
      <c r="A1738" s="218" t="s">
        <v>2149</v>
      </c>
      <c r="B1738" s="30">
        <v>12.24</v>
      </c>
      <c r="C1738" s="30">
        <v>11.39</v>
      </c>
      <c r="D1738" s="30">
        <v>11.1</v>
      </c>
      <c r="E1738" s="116">
        <v>15.5</v>
      </c>
      <c r="H1738" s="233"/>
    </row>
    <row r="1739" spans="1:9">
      <c r="A1739" s="218" t="s">
        <v>1327</v>
      </c>
      <c r="B1739" s="30">
        <v>18.239999999999998</v>
      </c>
      <c r="C1739" s="30">
        <v>13</v>
      </c>
      <c r="D1739" s="30">
        <v>13.6</v>
      </c>
      <c r="E1739" s="116">
        <v>20</v>
      </c>
      <c r="H1739" s="233"/>
    </row>
    <row r="1740" spans="1:9">
      <c r="A1740" s="218" t="s">
        <v>2190</v>
      </c>
      <c r="B1740" s="30">
        <v>0</v>
      </c>
      <c r="C1740" s="30">
        <v>141.02000000000001</v>
      </c>
      <c r="D1740" s="30">
        <v>98.8</v>
      </c>
      <c r="E1740" s="30">
        <v>82</v>
      </c>
      <c r="H1740" s="233"/>
    </row>
    <row r="1741" spans="1:9">
      <c r="A1741" s="218" t="s">
        <v>2191</v>
      </c>
      <c r="B1741" s="30">
        <v>0</v>
      </c>
      <c r="C1741" s="30">
        <v>181.22</v>
      </c>
      <c r="D1741" s="30">
        <v>123.1</v>
      </c>
      <c r="E1741" s="30">
        <v>125</v>
      </c>
      <c r="H1741" s="233"/>
    </row>
    <row r="1742" spans="1:9">
      <c r="A1742" s="218" t="s">
        <v>2187</v>
      </c>
      <c r="B1742" s="30">
        <v>0</v>
      </c>
      <c r="C1742" s="30">
        <v>250.93</v>
      </c>
      <c r="D1742" s="30">
        <v>240.1</v>
      </c>
      <c r="E1742" s="30">
        <v>170</v>
      </c>
      <c r="H1742" s="233"/>
    </row>
    <row r="1743" spans="1:9">
      <c r="A1743" s="218" t="s">
        <v>2188</v>
      </c>
      <c r="B1743" s="30">
        <v>43.2</v>
      </c>
      <c r="C1743" s="30">
        <v>0</v>
      </c>
      <c r="D1743" s="30">
        <v>0</v>
      </c>
      <c r="E1743" s="30">
        <v>275</v>
      </c>
    </row>
    <row r="1744" spans="1:9">
      <c r="A1744" s="120" t="s">
        <v>238</v>
      </c>
      <c r="B1744" s="30">
        <f>SUM(B1733:B1743)</f>
        <v>736.77</v>
      </c>
      <c r="C1744" s="30">
        <f t="shared" ref="C1744" si="25">SUM(C1733:C1743)</f>
        <v>1059.78</v>
      </c>
      <c r="D1744" s="30">
        <f>SUM(D1733:D1743)</f>
        <v>993.6</v>
      </c>
      <c r="E1744" s="30">
        <f>SUM(E1733:E1743)</f>
        <v>1138.5</v>
      </c>
    </row>
    <row r="1746" spans="1:8">
      <c r="A1746" s="218" t="s">
        <v>2157</v>
      </c>
      <c r="B1746" s="101" t="s">
        <v>1933</v>
      </c>
      <c r="C1746" s="101" t="s">
        <v>423</v>
      </c>
      <c r="D1746" s="101" t="s">
        <v>6</v>
      </c>
      <c r="E1746" s="556" t="s">
        <v>213</v>
      </c>
      <c r="F1746" s="556" t="s">
        <v>1706</v>
      </c>
    </row>
    <row r="1747" spans="1:8">
      <c r="A1747" s="218" t="s">
        <v>2155</v>
      </c>
      <c r="B1747" s="3">
        <v>5</v>
      </c>
      <c r="C1747" s="30">
        <v>333.85</v>
      </c>
      <c r="D1747" s="30">
        <v>335.3</v>
      </c>
      <c r="E1747" s="30">
        <v>305</v>
      </c>
      <c r="F1747" s="30">
        <f>95*B1747</f>
        <v>475</v>
      </c>
    </row>
    <row r="1748" spans="1:8">
      <c r="A1748" s="218" t="s">
        <v>2154</v>
      </c>
      <c r="B1748" s="3">
        <v>3</v>
      </c>
      <c r="C1748" s="30">
        <v>563.49</v>
      </c>
      <c r="D1748" s="30">
        <v>574.98</v>
      </c>
      <c r="E1748" s="30">
        <v>507</v>
      </c>
      <c r="F1748" s="30">
        <f>265*B1748</f>
        <v>795</v>
      </c>
    </row>
    <row r="1749" spans="1:8">
      <c r="A1749" s="776" t="s">
        <v>238</v>
      </c>
      <c r="B1749" s="776"/>
      <c r="C1749" s="219">
        <f>SUM(C1747:C1748)</f>
        <v>897.34</v>
      </c>
      <c r="D1749" s="219">
        <f t="shared" ref="D1749:F1749" si="26">SUM(D1747:D1748)</f>
        <v>910.28</v>
      </c>
      <c r="E1749" s="219">
        <f t="shared" si="26"/>
        <v>812</v>
      </c>
      <c r="F1749" s="219">
        <f t="shared" si="26"/>
        <v>1270</v>
      </c>
    </row>
    <row r="1751" spans="1:8">
      <c r="A1751" s="218" t="s">
        <v>2166</v>
      </c>
      <c r="B1751" s="101" t="s">
        <v>1933</v>
      </c>
      <c r="C1751" s="101" t="s">
        <v>1661</v>
      </c>
      <c r="E1751" s="101" t="s">
        <v>2171</v>
      </c>
      <c r="F1751" s="101" t="s">
        <v>1933</v>
      </c>
      <c r="G1751" s="101" t="s">
        <v>238</v>
      </c>
    </row>
    <row r="1752" spans="1:8">
      <c r="A1752" s="84" t="s">
        <v>2167</v>
      </c>
      <c r="B1752" s="100">
        <v>2</v>
      </c>
      <c r="C1752" s="30">
        <v>0</v>
      </c>
      <c r="E1752" s="84" t="s">
        <v>1655</v>
      </c>
      <c r="F1752" s="100">
        <v>4</v>
      </c>
      <c r="G1752" s="30">
        <v>160</v>
      </c>
    </row>
    <row r="1753" spans="1:8">
      <c r="A1753" s="84" t="s">
        <v>2158</v>
      </c>
      <c r="B1753" s="100">
        <v>3</v>
      </c>
      <c r="C1753" s="30">
        <f>3*12.49</f>
        <v>37.47</v>
      </c>
      <c r="E1753" s="84" t="s">
        <v>2172</v>
      </c>
      <c r="F1753" s="100">
        <v>2</v>
      </c>
      <c r="G1753" s="30">
        <v>800</v>
      </c>
    </row>
    <row r="1754" spans="1:8">
      <c r="A1754" s="84" t="s">
        <v>2159</v>
      </c>
      <c r="B1754" s="100">
        <v>16</v>
      </c>
      <c r="C1754" s="30">
        <f>51.62*16</f>
        <v>825.92</v>
      </c>
      <c r="E1754" s="84" t="s">
        <v>2173</v>
      </c>
      <c r="F1754" s="100">
        <v>4</v>
      </c>
      <c r="G1754" s="30">
        <v>1480</v>
      </c>
    </row>
    <row r="1755" spans="1:8">
      <c r="A1755" s="84" t="s">
        <v>2168</v>
      </c>
      <c r="B1755" s="100" t="s">
        <v>2170</v>
      </c>
      <c r="C1755" s="30">
        <f>161.53*18</f>
        <v>2907.54</v>
      </c>
      <c r="E1755" s="84" t="s">
        <v>2175</v>
      </c>
      <c r="F1755" s="100">
        <v>3</v>
      </c>
      <c r="G1755" s="30">
        <v>1470</v>
      </c>
    </row>
    <row r="1756" spans="1:8">
      <c r="A1756" s="84" t="s">
        <v>2169</v>
      </c>
      <c r="B1756" s="100" t="s">
        <v>2170</v>
      </c>
      <c r="C1756" s="30">
        <f>233.19*18</f>
        <v>4197.42</v>
      </c>
      <c r="E1756" s="84" t="s">
        <v>2174</v>
      </c>
      <c r="F1756" s="100">
        <v>3</v>
      </c>
      <c r="G1756" s="30">
        <v>2880</v>
      </c>
    </row>
    <row r="1757" spans="1:8">
      <c r="A1757" s="84" t="s">
        <v>2160</v>
      </c>
      <c r="B1757" s="100">
        <v>6</v>
      </c>
      <c r="C1757" s="30">
        <f>51.62*6</f>
        <v>309.71999999999997</v>
      </c>
      <c r="E1757" s="84" t="s">
        <v>1931</v>
      </c>
      <c r="F1757" s="100">
        <v>6</v>
      </c>
      <c r="G1757" s="30">
        <v>600</v>
      </c>
    </row>
    <row r="1758" spans="1:8">
      <c r="A1758" s="84" t="s">
        <v>2161</v>
      </c>
      <c r="B1758" s="100">
        <v>2</v>
      </c>
      <c r="C1758" s="30">
        <v>0</v>
      </c>
      <c r="E1758" s="84" t="s">
        <v>2177</v>
      </c>
      <c r="F1758" s="100">
        <v>2</v>
      </c>
      <c r="G1758" s="30">
        <v>120</v>
      </c>
    </row>
    <row r="1759" spans="1:8">
      <c r="A1759" s="84" t="s">
        <v>2162</v>
      </c>
      <c r="B1759" s="100">
        <v>2</v>
      </c>
      <c r="C1759" s="30">
        <f>28.43*2</f>
        <v>56.86</v>
      </c>
      <c r="E1759" s="84" t="s">
        <v>2178</v>
      </c>
      <c r="F1759" s="100">
        <v>3</v>
      </c>
      <c r="G1759" s="30">
        <v>120</v>
      </c>
    </row>
    <row r="1760" spans="1:8">
      <c r="A1760" s="84" t="s">
        <v>2165</v>
      </c>
      <c r="B1760" s="100">
        <v>3</v>
      </c>
      <c r="C1760" s="30">
        <f>40.47*3</f>
        <v>121.41</v>
      </c>
      <c r="E1760" s="84" t="s">
        <v>2179</v>
      </c>
      <c r="F1760" s="100">
        <v>1</v>
      </c>
      <c r="G1760" s="30">
        <v>200</v>
      </c>
      <c r="H1760" s="49">
        <v>250</v>
      </c>
    </row>
    <row r="1761" spans="1:7">
      <c r="A1761" s="84" t="s">
        <v>2163</v>
      </c>
      <c r="B1761" s="100">
        <v>1</v>
      </c>
      <c r="C1761" s="30">
        <v>0</v>
      </c>
      <c r="E1761" s="84" t="s">
        <v>2176</v>
      </c>
      <c r="F1761" s="100">
        <v>2</v>
      </c>
      <c r="G1761" s="30">
        <v>240</v>
      </c>
    </row>
    <row r="1762" spans="1:7">
      <c r="A1762" s="84" t="s">
        <v>2164</v>
      </c>
      <c r="B1762" s="100">
        <v>12</v>
      </c>
      <c r="C1762" s="30">
        <f>22.83*12</f>
        <v>273.95999999999998</v>
      </c>
      <c r="E1762" s="776" t="s">
        <v>238</v>
      </c>
      <c r="F1762" s="776"/>
      <c r="G1762" s="311">
        <f>SUM(G1752:G1761)</f>
        <v>8070</v>
      </c>
    </row>
    <row r="1763" spans="1:7">
      <c r="A1763" s="776" t="s">
        <v>238</v>
      </c>
      <c r="B1763" s="776"/>
      <c r="C1763" s="311">
        <f>C1752+C1753+C1754+C1755+C1756+C1757+C1758+C1759+C1760+C1761+C1762</f>
        <v>8730.2999999999993</v>
      </c>
    </row>
    <row r="1765" spans="1:7">
      <c r="A1765" s="218" t="s">
        <v>2180</v>
      </c>
      <c r="B1765" s="101" t="s">
        <v>2181</v>
      </c>
      <c r="C1765" s="101" t="s">
        <v>2425</v>
      </c>
      <c r="D1765" s="101" t="s">
        <v>2193</v>
      </c>
    </row>
    <row r="1766" spans="1:7">
      <c r="A1766" s="218" t="s">
        <v>2182</v>
      </c>
      <c r="B1766" s="30"/>
      <c r="C1766" s="30">
        <v>5640</v>
      </c>
      <c r="D1766" s="30">
        <v>1500</v>
      </c>
    </row>
    <row r="1768" spans="1:7">
      <c r="A1768" s="330" t="s">
        <v>2183</v>
      </c>
      <c r="B1768" s="530" t="s">
        <v>2184</v>
      </c>
      <c r="C1768" s="530" t="s">
        <v>2171</v>
      </c>
      <c r="D1768" s="530" t="s">
        <v>662</v>
      </c>
    </row>
    <row r="1769" spans="1:7">
      <c r="A1769" s="330" t="s">
        <v>2196</v>
      </c>
      <c r="B1769" s="30"/>
      <c r="C1769" s="30">
        <v>400</v>
      </c>
      <c r="D1769" s="30">
        <v>1365.87</v>
      </c>
    </row>
    <row r="1770" spans="1:7">
      <c r="D1770" s="165"/>
    </row>
    <row r="1772" spans="1:7">
      <c r="A1772" s="330" t="s">
        <v>2185</v>
      </c>
      <c r="B1772" s="530" t="s">
        <v>1760</v>
      </c>
      <c r="C1772" s="330" t="s">
        <v>2220</v>
      </c>
      <c r="D1772" s="530" t="s">
        <v>1936</v>
      </c>
    </row>
    <row r="1773" spans="1:7">
      <c r="A1773" s="330" t="s">
        <v>2186</v>
      </c>
      <c r="B1773" s="30">
        <v>3991.37</v>
      </c>
      <c r="C1773" s="30">
        <v>6700</v>
      </c>
      <c r="D1773" s="30">
        <v>13549.9</v>
      </c>
    </row>
    <row r="1775" spans="1:7">
      <c r="A1775" s="330" t="s">
        <v>2192</v>
      </c>
      <c r="B1775" s="530" t="s">
        <v>421</v>
      </c>
      <c r="C1775" s="530" t="s">
        <v>790</v>
      </c>
      <c r="D1775" s="530" t="s">
        <v>2194</v>
      </c>
    </row>
    <row r="1776" spans="1:7">
      <c r="A1776" s="330" t="s">
        <v>2195</v>
      </c>
      <c r="B1776" s="30">
        <v>460</v>
      </c>
      <c r="C1776" s="30">
        <v>292.92</v>
      </c>
      <c r="D1776" s="30">
        <v>295</v>
      </c>
    </row>
    <row r="1777" spans="1:9">
      <c r="D1777" s="165"/>
    </row>
    <row r="1779" spans="1:9">
      <c r="A1779" s="330" t="s">
        <v>2198</v>
      </c>
      <c r="B1779" s="530" t="s">
        <v>221</v>
      </c>
      <c r="C1779" s="530" t="s">
        <v>1661</v>
      </c>
      <c r="D1779" s="530" t="s">
        <v>1657</v>
      </c>
      <c r="E1779" s="72"/>
      <c r="F1779" s="72"/>
    </row>
    <row r="1780" spans="1:9">
      <c r="A1780" s="16" t="s">
        <v>2199</v>
      </c>
      <c r="B1780" s="100">
        <v>40</v>
      </c>
      <c r="C1780" s="30">
        <v>0</v>
      </c>
      <c r="D1780" s="30">
        <v>177.8</v>
      </c>
      <c r="E1780" s="48"/>
    </row>
    <row r="1781" spans="1:9">
      <c r="B1781" s="584" t="s">
        <v>1139</v>
      </c>
      <c r="C1781" s="702" t="s">
        <v>2221</v>
      </c>
      <c r="D1781" s="702" t="s">
        <v>1539</v>
      </c>
      <c r="E1781" s="48"/>
    </row>
    <row r="1783" spans="1:9">
      <c r="A1783" s="412" t="s">
        <v>2200</v>
      </c>
      <c r="B1783" s="413" t="s">
        <v>1933</v>
      </c>
      <c r="C1783" s="413" t="s">
        <v>2207</v>
      </c>
    </row>
    <row r="1784" spans="1:9">
      <c r="A1784" s="412" t="s">
        <v>2202</v>
      </c>
      <c r="B1784" s="100" t="s">
        <v>2206</v>
      </c>
      <c r="C1784" s="352">
        <v>486</v>
      </c>
    </row>
    <row r="1785" spans="1:9">
      <c r="A1785" s="412" t="s">
        <v>2203</v>
      </c>
      <c r="B1785" s="100" t="s">
        <v>2206</v>
      </c>
      <c r="C1785" s="352">
        <v>467.5</v>
      </c>
    </row>
    <row r="1786" spans="1:9">
      <c r="A1786" s="412" t="s">
        <v>2204</v>
      </c>
      <c r="B1786" s="100">
        <v>1</v>
      </c>
      <c r="C1786" s="352">
        <v>318</v>
      </c>
    </row>
    <row r="1787" spans="1:9">
      <c r="A1787" s="412" t="s">
        <v>2205</v>
      </c>
      <c r="B1787" s="100">
        <v>5</v>
      </c>
      <c r="C1787" s="352">
        <v>65</v>
      </c>
    </row>
    <row r="1788" spans="1:9">
      <c r="A1788" s="412" t="s">
        <v>2208</v>
      </c>
      <c r="B1788" s="100">
        <v>50</v>
      </c>
      <c r="C1788" s="352">
        <v>272.5</v>
      </c>
    </row>
    <row r="1789" spans="1:9">
      <c r="A1789" s="687" t="s">
        <v>238</v>
      </c>
      <c r="B1789" s="687"/>
      <c r="C1789" s="311">
        <f>SUM(C1784:C1788)</f>
        <v>1609</v>
      </c>
    </row>
    <row r="1791" spans="1:9">
      <c r="A1791" s="330" t="s">
        <v>2209</v>
      </c>
      <c r="B1791" s="530" t="s">
        <v>1933</v>
      </c>
      <c r="C1791" s="530" t="s">
        <v>1428</v>
      </c>
      <c r="D1791" s="530" t="s">
        <v>1593</v>
      </c>
      <c r="E1791" s="530" t="s">
        <v>2219</v>
      </c>
      <c r="G1791" s="757" t="s">
        <v>1428</v>
      </c>
      <c r="H1791" s="758"/>
      <c r="I1791" s="758"/>
    </row>
    <row r="1792" spans="1:9">
      <c r="A1792" s="330" t="s">
        <v>2218</v>
      </c>
      <c r="B1792" s="3">
        <v>2</v>
      </c>
      <c r="C1792" s="703">
        <v>160.24</v>
      </c>
      <c r="D1792" s="30">
        <f>95.52*B1792</f>
        <v>191.04</v>
      </c>
      <c r="E1792" s="30">
        <v>353.6</v>
      </c>
      <c r="G1792" s="330" t="s">
        <v>2218</v>
      </c>
      <c r="H1792" s="3">
        <v>2</v>
      </c>
      <c r="I1792" s="703">
        <v>160.24</v>
      </c>
    </row>
    <row r="1793" spans="1:9">
      <c r="A1793" s="330" t="s">
        <v>2210</v>
      </c>
      <c r="B1793" s="3">
        <v>1</v>
      </c>
      <c r="C1793" s="30">
        <v>89.12</v>
      </c>
      <c r="D1793" s="30">
        <v>43.2</v>
      </c>
      <c r="E1793" s="703">
        <v>42.6</v>
      </c>
      <c r="G1793" s="330" t="s">
        <v>2212</v>
      </c>
      <c r="H1793" s="3">
        <v>1</v>
      </c>
      <c r="I1793" s="703">
        <v>63</v>
      </c>
    </row>
    <row r="1794" spans="1:9">
      <c r="A1794" s="330" t="s">
        <v>2211</v>
      </c>
      <c r="B1794" s="3">
        <v>1</v>
      </c>
      <c r="C1794" s="30">
        <v>142.16</v>
      </c>
      <c r="D1794" s="30">
        <v>0</v>
      </c>
      <c r="E1794" s="703">
        <v>114.9</v>
      </c>
      <c r="G1794" s="330" t="s">
        <v>2213</v>
      </c>
      <c r="H1794" s="3">
        <v>1</v>
      </c>
      <c r="I1794" s="703">
        <v>95.94</v>
      </c>
    </row>
    <row r="1795" spans="1:9">
      <c r="A1795" s="330" t="s">
        <v>2212</v>
      </c>
      <c r="B1795" s="3">
        <v>1</v>
      </c>
      <c r="C1795" s="703">
        <v>63</v>
      </c>
      <c r="D1795" s="30">
        <v>17.170000000000002</v>
      </c>
      <c r="E1795" s="30">
        <v>98</v>
      </c>
    </row>
    <row r="1796" spans="1:9">
      <c r="A1796" s="330" t="s">
        <v>2213</v>
      </c>
      <c r="B1796" s="3">
        <v>1</v>
      </c>
      <c r="C1796" s="703">
        <v>95.94</v>
      </c>
      <c r="D1796" s="30">
        <v>88.35</v>
      </c>
      <c r="E1796" s="30">
        <v>114.5</v>
      </c>
      <c r="G1796" s="759" t="s">
        <v>2219</v>
      </c>
      <c r="H1796" s="759"/>
      <c r="I1796" s="759"/>
    </row>
    <row r="1797" spans="1:9">
      <c r="A1797" s="330" t="s">
        <v>2214</v>
      </c>
      <c r="B1797" s="3">
        <v>2</v>
      </c>
      <c r="C1797" s="30">
        <v>260</v>
      </c>
      <c r="D1797" s="116">
        <f>267.54*2</f>
        <v>535.08000000000004</v>
      </c>
      <c r="E1797" s="703">
        <v>509.4</v>
      </c>
      <c r="G1797" s="330" t="s">
        <v>2210</v>
      </c>
      <c r="H1797" s="3">
        <v>1</v>
      </c>
      <c r="I1797" s="703">
        <v>42.6</v>
      </c>
    </row>
    <row r="1798" spans="1:9">
      <c r="A1798" s="330" t="s">
        <v>2215</v>
      </c>
      <c r="B1798" s="3">
        <v>2</v>
      </c>
      <c r="C1798" s="30">
        <v>64.02</v>
      </c>
      <c r="D1798" s="777">
        <v>192.96</v>
      </c>
      <c r="E1798" s="703">
        <v>77.599999999999994</v>
      </c>
      <c r="G1798" s="330" t="s">
        <v>2211</v>
      </c>
      <c r="H1798" s="3">
        <v>1</v>
      </c>
      <c r="I1798" s="703">
        <v>114.9</v>
      </c>
    </row>
    <row r="1799" spans="1:9">
      <c r="A1799" s="330" t="s">
        <v>2216</v>
      </c>
      <c r="B1799" s="3">
        <v>2</v>
      </c>
      <c r="C1799" s="777">
        <v>44.92</v>
      </c>
      <c r="D1799" s="906"/>
      <c r="E1799" s="703">
        <v>15.8</v>
      </c>
      <c r="G1799" s="330" t="s">
        <v>2214</v>
      </c>
      <c r="H1799" s="3">
        <v>2</v>
      </c>
      <c r="I1799" s="703">
        <v>509.4</v>
      </c>
    </row>
    <row r="1800" spans="1:9">
      <c r="A1800" s="330" t="s">
        <v>2217</v>
      </c>
      <c r="B1800" s="3">
        <v>2</v>
      </c>
      <c r="C1800" s="778"/>
      <c r="D1800" s="778"/>
      <c r="E1800" s="703">
        <v>6.6</v>
      </c>
      <c r="G1800" s="330" t="s">
        <v>2215</v>
      </c>
      <c r="H1800" s="3">
        <v>2</v>
      </c>
      <c r="I1800" s="703">
        <v>77.599999999999994</v>
      </c>
    </row>
    <row r="1801" spans="1:9">
      <c r="A1801" s="330" t="s">
        <v>2226</v>
      </c>
      <c r="B1801" s="3">
        <v>1</v>
      </c>
      <c r="C1801" s="16"/>
      <c r="D1801" s="16"/>
      <c r="E1801" s="784">
        <v>25</v>
      </c>
      <c r="G1801" s="330" t="s">
        <v>2216</v>
      </c>
      <c r="H1801" s="3">
        <v>2</v>
      </c>
      <c r="I1801" s="703">
        <v>15.8</v>
      </c>
    </row>
    <row r="1802" spans="1:9">
      <c r="A1802" s="330" t="s">
        <v>2227</v>
      </c>
      <c r="B1802" s="3">
        <v>1</v>
      </c>
      <c r="C1802" s="16"/>
      <c r="D1802" s="16"/>
      <c r="E1802" s="784"/>
      <c r="G1802" s="330" t="s">
        <v>2217</v>
      </c>
      <c r="H1802" s="3">
        <v>2</v>
      </c>
      <c r="I1802" s="703">
        <v>6.6</v>
      </c>
    </row>
    <row r="1803" spans="1:9">
      <c r="A1803" s="330" t="s">
        <v>2229</v>
      </c>
      <c r="B1803" s="3">
        <v>1</v>
      </c>
      <c r="C1803" s="16"/>
      <c r="D1803" s="16"/>
      <c r="E1803" s="703">
        <v>368.6</v>
      </c>
    </row>
    <row r="1804" spans="1:9">
      <c r="A1804" s="331" t="s">
        <v>2228</v>
      </c>
      <c r="B1804" s="3">
        <v>1</v>
      </c>
      <c r="C1804" s="16"/>
      <c r="D1804" s="16"/>
      <c r="E1804" s="703">
        <v>63.4</v>
      </c>
    </row>
    <row r="1805" spans="1:9">
      <c r="A1805" s="331" t="s">
        <v>2230</v>
      </c>
      <c r="B1805" s="3">
        <v>1</v>
      </c>
      <c r="C1805" s="16"/>
      <c r="D1805" s="16"/>
      <c r="E1805" s="703">
        <v>56.1</v>
      </c>
    </row>
    <row r="1806" spans="1:9">
      <c r="A1806" s="277" t="s">
        <v>238</v>
      </c>
      <c r="B1806" s="277"/>
      <c r="C1806" s="219">
        <f>SUM(C1792:C1805)</f>
        <v>919.4</v>
      </c>
      <c r="D1806" s="219"/>
      <c r="E1806" s="219">
        <f>SUM(E1792:E1805)</f>
        <v>1846.1</v>
      </c>
    </row>
    <row r="1807" spans="1:9" ht="15" thickBot="1"/>
    <row r="1808" spans="1:9" ht="15" thickBot="1">
      <c r="A1808" s="547" t="s">
        <v>2225</v>
      </c>
      <c r="B1808" s="548" t="s">
        <v>1541</v>
      </c>
      <c r="C1808" s="539" t="s">
        <v>1135</v>
      </c>
      <c r="D1808" s="701"/>
    </row>
    <row r="1809" spans="1:5">
      <c r="A1809" s="544" t="s">
        <v>319</v>
      </c>
      <c r="B1809" s="545" t="s">
        <v>33</v>
      </c>
      <c r="C1809" s="483" t="s">
        <v>1538</v>
      </c>
      <c r="D1809" s="483" t="s">
        <v>1230</v>
      </c>
      <c r="E1809" s="704" t="s">
        <v>2222</v>
      </c>
    </row>
    <row r="1810" spans="1:5">
      <c r="A1810" s="94" t="s">
        <v>1073</v>
      </c>
      <c r="B1810" s="100" t="s">
        <v>323</v>
      </c>
      <c r="C1810" s="30">
        <v>6.38</v>
      </c>
      <c r="D1810" s="84" t="s">
        <v>2223</v>
      </c>
      <c r="E1810" s="30">
        <v>6.65</v>
      </c>
    </row>
    <row r="1811" spans="1:5">
      <c r="A1811" s="94" t="s">
        <v>326</v>
      </c>
      <c r="B1811" s="100" t="s">
        <v>327</v>
      </c>
      <c r="C1811" s="114">
        <v>6.48</v>
      </c>
      <c r="D1811" s="84" t="s">
        <v>2223</v>
      </c>
      <c r="E1811" s="114" t="s">
        <v>527</v>
      </c>
    </row>
    <row r="1812" spans="1:5">
      <c r="A1812" s="94" t="s">
        <v>334</v>
      </c>
      <c r="B1812" s="100" t="s">
        <v>335</v>
      </c>
      <c r="C1812" s="705">
        <v>6.15</v>
      </c>
      <c r="D1812" s="84" t="s">
        <v>2224</v>
      </c>
      <c r="E1812" s="30">
        <v>6.45</v>
      </c>
    </row>
    <row r="1813" spans="1:5">
      <c r="A1813" s="3" t="s">
        <v>1542</v>
      </c>
      <c r="B1813" s="100" t="s">
        <v>1543</v>
      </c>
      <c r="C1813" s="30">
        <v>6.41</v>
      </c>
      <c r="D1813" s="84" t="s">
        <v>813</v>
      </c>
      <c r="E1813" s="30">
        <v>6.36</v>
      </c>
    </row>
    <row r="1815" spans="1:5">
      <c r="A1815" s="525" t="s">
        <v>2231</v>
      </c>
      <c r="B1815" s="354" t="s">
        <v>1060</v>
      </c>
      <c r="C1815" s="354" t="s">
        <v>1913</v>
      </c>
    </row>
    <row r="1816" spans="1:5">
      <c r="A1816" s="3" t="s">
        <v>1158</v>
      </c>
      <c r="B1816" s="3">
        <v>4</v>
      </c>
      <c r="C1816" s="30">
        <v>274.52</v>
      </c>
    </row>
    <row r="1817" spans="1:5">
      <c r="A1817" s="3" t="s">
        <v>1159</v>
      </c>
      <c r="B1817" s="3">
        <v>4</v>
      </c>
      <c r="C1817" s="30">
        <v>250.4</v>
      </c>
    </row>
    <row r="1818" spans="1:5">
      <c r="A1818" s="3" t="s">
        <v>1160</v>
      </c>
      <c r="B1818" s="3">
        <v>4</v>
      </c>
      <c r="C1818" s="30">
        <v>341.88</v>
      </c>
    </row>
    <row r="1819" spans="1:5">
      <c r="A1819" s="3" t="s">
        <v>1161</v>
      </c>
      <c r="B1819" s="3">
        <v>2</v>
      </c>
      <c r="C1819" s="30">
        <v>1032.04</v>
      </c>
    </row>
    <row r="1820" spans="1:5">
      <c r="A1820" s="399" t="s">
        <v>1970</v>
      </c>
      <c r="B1820" s="713">
        <v>2</v>
      </c>
      <c r="C1820" s="30">
        <v>800</v>
      </c>
    </row>
    <row r="1821" spans="1:5">
      <c r="A1821" s="748" t="s">
        <v>238</v>
      </c>
      <c r="B1821" s="749"/>
      <c r="C1821" s="30">
        <f>SUM(C1816:C1820)</f>
        <v>2698.84</v>
      </c>
    </row>
    <row r="1823" spans="1:5">
      <c r="A1823" s="555" t="s">
        <v>2232</v>
      </c>
      <c r="B1823" s="101" t="s">
        <v>2235</v>
      </c>
      <c r="C1823" s="101" t="s">
        <v>2236</v>
      </c>
    </row>
    <row r="1824" spans="1:5">
      <c r="A1824" s="554" t="s">
        <v>2233</v>
      </c>
      <c r="B1824" s="30">
        <v>302.16000000000003</v>
      </c>
      <c r="C1824" s="30">
        <v>413</v>
      </c>
      <c r="D1824" s="118"/>
    </row>
    <row r="1825" spans="1:5">
      <c r="A1825" s="554" t="s">
        <v>2234</v>
      </c>
      <c r="B1825" s="30">
        <v>159.56</v>
      </c>
      <c r="C1825" s="30">
        <v>296</v>
      </c>
      <c r="D1825" t="s">
        <v>2237</v>
      </c>
    </row>
    <row r="1826" spans="1:5">
      <c r="A1826" s="120" t="s">
        <v>238</v>
      </c>
      <c r="B1826" s="219">
        <f>B1824+B1825</f>
        <v>461.72</v>
      </c>
      <c r="C1826" s="219">
        <f>C1824+C1825</f>
        <v>709</v>
      </c>
    </row>
    <row r="1827" spans="1:5">
      <c r="B1827" t="s">
        <v>2238</v>
      </c>
    </row>
    <row r="1829" spans="1:5">
      <c r="A1829" s="528" t="s">
        <v>2245</v>
      </c>
      <c r="B1829" s="413" t="s">
        <v>295</v>
      </c>
      <c r="C1829" s="413" t="s">
        <v>303</v>
      </c>
      <c r="D1829" s="413" t="s">
        <v>421</v>
      </c>
      <c r="E1829" s="413" t="s">
        <v>2239</v>
      </c>
    </row>
    <row r="1830" spans="1:5">
      <c r="A1830" s="330" t="s">
        <v>624</v>
      </c>
      <c r="B1830" s="116">
        <v>78</v>
      </c>
      <c r="C1830" s="116"/>
      <c r="D1830" s="116">
        <v>112.8</v>
      </c>
      <c r="E1830" s="116">
        <v>106.37</v>
      </c>
    </row>
    <row r="1831" spans="1:5">
      <c r="A1831" s="330" t="s">
        <v>2244</v>
      </c>
      <c r="B1831" s="30">
        <v>78</v>
      </c>
      <c r="C1831" s="30"/>
      <c r="D1831" s="30">
        <v>95.65</v>
      </c>
      <c r="E1831" s="30">
        <v>0</v>
      </c>
    </row>
    <row r="1833" spans="1:5">
      <c r="A1833" s="330" t="s">
        <v>2246</v>
      </c>
      <c r="B1833" s="530" t="s">
        <v>2248</v>
      </c>
      <c r="C1833" s="530" t="s">
        <v>1330</v>
      </c>
      <c r="D1833" s="530" t="s">
        <v>2249</v>
      </c>
      <c r="E1833" s="530" t="s">
        <v>2194</v>
      </c>
    </row>
    <row r="1834" spans="1:5">
      <c r="A1834" s="330" t="s">
        <v>2247</v>
      </c>
      <c r="B1834" s="16"/>
      <c r="C1834" s="16">
        <v>695.28</v>
      </c>
      <c r="D1834" s="16"/>
      <c r="E1834" s="16"/>
    </row>
    <row r="1836" spans="1:5">
      <c r="A1836" s="330" t="s">
        <v>2250</v>
      </c>
      <c r="B1836" s="354" t="s">
        <v>1060</v>
      </c>
      <c r="C1836" s="530" t="s">
        <v>2254</v>
      </c>
    </row>
    <row r="1837" spans="1:5">
      <c r="A1837" s="330" t="s">
        <v>2251</v>
      </c>
      <c r="B1837" s="100">
        <v>1</v>
      </c>
      <c r="C1837" s="30">
        <v>135</v>
      </c>
    </row>
    <row r="1838" spans="1:5">
      <c r="A1838" s="330" t="s">
        <v>2252</v>
      </c>
      <c r="B1838" s="100">
        <v>2</v>
      </c>
      <c r="C1838" s="30">
        <v>70</v>
      </c>
    </row>
    <row r="1839" spans="1:5">
      <c r="A1839" s="330" t="s">
        <v>2253</v>
      </c>
      <c r="B1839" s="100">
        <v>1</v>
      </c>
      <c r="C1839" s="30">
        <v>4</v>
      </c>
    </row>
    <row r="1840" spans="1:5">
      <c r="A1840" s="771" t="s">
        <v>238</v>
      </c>
      <c r="B1840" s="771"/>
      <c r="C1840" s="219">
        <f>SUM(C1837:C1839)</f>
        <v>209</v>
      </c>
    </row>
    <row r="1842" spans="1:9">
      <c r="A1842" s="330" t="s">
        <v>2255</v>
      </c>
      <c r="B1842" s="530" t="s">
        <v>1428</v>
      </c>
    </row>
    <row r="1843" spans="1:9">
      <c r="A1843" s="330" t="s">
        <v>2260</v>
      </c>
      <c r="B1843" s="30">
        <v>58</v>
      </c>
    </row>
    <row r="1844" spans="1:9">
      <c r="A1844" s="330" t="s">
        <v>2261</v>
      </c>
      <c r="B1844" s="30">
        <v>89</v>
      </c>
    </row>
    <row r="1845" spans="1:9">
      <c r="A1845" s="277" t="s">
        <v>238</v>
      </c>
      <c r="B1845" s="30">
        <f>SUM(B1843:B1844)</f>
        <v>147</v>
      </c>
    </row>
    <row r="1847" spans="1:9">
      <c r="A1847" s="330" t="s">
        <v>2256</v>
      </c>
      <c r="B1847" s="530" t="s">
        <v>1059</v>
      </c>
      <c r="C1847" s="530" t="s">
        <v>1631</v>
      </c>
    </row>
    <row r="1848" spans="1:9">
      <c r="A1848" s="330" t="s">
        <v>2257</v>
      </c>
      <c r="B1848" s="30">
        <v>92.56</v>
      </c>
      <c r="C1848" s="30">
        <v>123.98</v>
      </c>
    </row>
    <row r="1849" spans="1:9">
      <c r="A1849" s="330" t="s">
        <v>2258</v>
      </c>
      <c r="B1849" s="30">
        <v>98.6</v>
      </c>
      <c r="C1849" s="30">
        <v>99.98</v>
      </c>
    </row>
    <row r="1850" spans="1:9">
      <c r="A1850" s="330" t="s">
        <v>2259</v>
      </c>
      <c r="B1850" s="30">
        <v>86.17</v>
      </c>
      <c r="C1850" s="30">
        <v>109.99</v>
      </c>
    </row>
    <row r="1851" spans="1:9">
      <c r="A1851" s="277" t="s">
        <v>238</v>
      </c>
      <c r="B1851" s="219">
        <f>SUM(B1848:B1850)</f>
        <v>277.33</v>
      </c>
      <c r="C1851" s="219">
        <f>SUM(C1848:C1850)</f>
        <v>333.95</v>
      </c>
    </row>
    <row r="1853" spans="1:9">
      <c r="A1853" s="330" t="s">
        <v>2262</v>
      </c>
      <c r="B1853" s="530" t="s">
        <v>644</v>
      </c>
      <c r="C1853" s="530" t="s">
        <v>2264</v>
      </c>
      <c r="D1853" s="530" t="s">
        <v>2265</v>
      </c>
    </row>
    <row r="1854" spans="1:9">
      <c r="A1854" s="330" t="s">
        <v>2263</v>
      </c>
      <c r="B1854" s="30">
        <v>500</v>
      </c>
      <c r="C1854" s="30">
        <v>268</v>
      </c>
      <c r="D1854" s="30">
        <v>390</v>
      </c>
    </row>
    <row r="1855" spans="1:9" ht="15" thickBot="1"/>
    <row r="1856" spans="1:9">
      <c r="A1856" s="762" t="s">
        <v>2267</v>
      </c>
      <c r="B1856" s="763"/>
      <c r="C1856" s="763"/>
      <c r="D1856" s="763"/>
      <c r="E1856" s="763"/>
      <c r="F1856" s="763"/>
      <c r="G1856" s="763"/>
      <c r="H1856" s="763"/>
      <c r="I1856" s="764"/>
    </row>
    <row r="1857" spans="1:9">
      <c r="A1857" s="765"/>
      <c r="B1857" s="766"/>
      <c r="C1857" s="766"/>
      <c r="D1857" s="766"/>
      <c r="E1857" s="766"/>
      <c r="F1857" s="766"/>
      <c r="G1857" s="766"/>
      <c r="H1857" s="766"/>
      <c r="I1857" s="767"/>
    </row>
    <row r="1858" spans="1:9" ht="15" thickBot="1">
      <c r="A1858" s="768"/>
      <c r="B1858" s="769"/>
      <c r="C1858" s="769"/>
      <c r="D1858" s="769"/>
      <c r="E1858" s="769"/>
      <c r="F1858" s="769"/>
      <c r="G1858" s="769"/>
      <c r="H1858" s="769"/>
      <c r="I1858" s="770"/>
    </row>
    <row r="1859" spans="1:9" ht="15" thickBot="1">
      <c r="A1859" s="708" t="s">
        <v>2266</v>
      </c>
      <c r="B1859" s="709" t="s">
        <v>1541</v>
      </c>
      <c r="C1859" s="760" t="s">
        <v>346</v>
      </c>
      <c r="D1859" s="761"/>
    </row>
    <row r="1860" spans="1:9">
      <c r="A1860" s="544" t="s">
        <v>319</v>
      </c>
      <c r="B1860" s="545" t="s">
        <v>33</v>
      </c>
      <c r="C1860" s="483" t="s">
        <v>1538</v>
      </c>
      <c r="D1860" s="483" t="s">
        <v>1230</v>
      </c>
    </row>
    <row r="1861" spans="1:9">
      <c r="A1861" s="94" t="s">
        <v>1073</v>
      </c>
      <c r="B1861" s="100" t="s">
        <v>323</v>
      </c>
      <c r="C1861" s="30">
        <v>6.37</v>
      </c>
      <c r="D1861" s="16" t="s">
        <v>2085</v>
      </c>
    </row>
    <row r="1862" spans="1:9">
      <c r="A1862" s="94" t="s">
        <v>326</v>
      </c>
      <c r="B1862" s="100" t="s">
        <v>327</v>
      </c>
      <c r="C1862" s="114" t="s">
        <v>527</v>
      </c>
      <c r="D1862" s="16" t="s">
        <v>1998</v>
      </c>
    </row>
    <row r="1863" spans="1:9">
      <c r="A1863" s="94" t="s">
        <v>334</v>
      </c>
      <c r="B1863" s="100" t="s">
        <v>335</v>
      </c>
      <c r="C1863" s="30">
        <v>6.18</v>
      </c>
      <c r="D1863" s="16" t="s">
        <v>1745</v>
      </c>
    </row>
    <row r="1864" spans="1:9">
      <c r="A1864" s="3" t="s">
        <v>1542</v>
      </c>
      <c r="B1864" s="100" t="s">
        <v>1543</v>
      </c>
      <c r="C1864" s="30">
        <v>6.36</v>
      </c>
      <c r="D1864" s="16" t="s">
        <v>813</v>
      </c>
    </row>
    <row r="1866" spans="1:9">
      <c r="A1866" s="330" t="s">
        <v>2268</v>
      </c>
      <c r="B1866" s="530" t="s">
        <v>190</v>
      </c>
      <c r="C1866" s="712" t="s">
        <v>2270</v>
      </c>
      <c r="D1866" s="530" t="s">
        <v>238</v>
      </c>
      <c r="E1866" s="530" t="s">
        <v>820</v>
      </c>
    </row>
    <row r="1867" spans="1:9">
      <c r="A1867" s="278" t="s">
        <v>1371</v>
      </c>
      <c r="B1867" s="278" t="s">
        <v>2269</v>
      </c>
      <c r="C1867" s="30">
        <v>463.99</v>
      </c>
      <c r="D1867" s="30">
        <v>1391.97</v>
      </c>
      <c r="E1867" s="100" t="s">
        <v>2087</v>
      </c>
    </row>
    <row r="1868" spans="1:9">
      <c r="A1868" s="278" t="s">
        <v>189</v>
      </c>
      <c r="B1868" s="16"/>
      <c r="C1868" s="16"/>
      <c r="D1868" s="16"/>
      <c r="E1868" s="16"/>
    </row>
    <row r="1870" spans="1:9">
      <c r="A1870" s="551" t="s">
        <v>2271</v>
      </c>
      <c r="B1870" s="530" t="s">
        <v>55</v>
      </c>
      <c r="C1870" s="530" t="s">
        <v>320</v>
      </c>
      <c r="D1870" s="530" t="s">
        <v>2273</v>
      </c>
      <c r="E1870" s="530" t="s">
        <v>1139</v>
      </c>
    </row>
    <row r="1871" spans="1:9">
      <c r="A1871" s="84" t="s">
        <v>2272</v>
      </c>
      <c r="B1871" s="30">
        <v>252.97</v>
      </c>
      <c r="C1871" s="100" t="s">
        <v>2276</v>
      </c>
      <c r="D1871" s="17"/>
      <c r="E1871" s="16"/>
      <c r="F1871" t="s">
        <v>2277</v>
      </c>
    </row>
    <row r="1872" spans="1:9">
      <c r="A1872" s="84" t="s">
        <v>2274</v>
      </c>
      <c r="B1872" s="30">
        <v>798</v>
      </c>
      <c r="C1872" s="100" t="s">
        <v>2275</v>
      </c>
      <c r="D1872" s="29">
        <v>46204</v>
      </c>
      <c r="E1872" s="16"/>
    </row>
    <row r="1873" spans="1:4">
      <c r="A1873" s="117"/>
      <c r="B1873" s="49"/>
    </row>
    <row r="1874" spans="1:4">
      <c r="A1874" s="330" t="s">
        <v>2278</v>
      </c>
      <c r="B1874" s="530" t="s">
        <v>878</v>
      </c>
    </row>
    <row r="1875" spans="1:4">
      <c r="A1875" s="84" t="s">
        <v>2279</v>
      </c>
      <c r="B1875" s="30">
        <v>75</v>
      </c>
    </row>
    <row r="1876" spans="1:4">
      <c r="A1876" s="84" t="s">
        <v>2280</v>
      </c>
      <c r="B1876" s="30">
        <v>269</v>
      </c>
    </row>
    <row r="1877" spans="1:4">
      <c r="A1877" s="84" t="s">
        <v>2281</v>
      </c>
      <c r="B1877" s="30">
        <v>98</v>
      </c>
    </row>
    <row r="1878" spans="1:4">
      <c r="A1878" s="84" t="s">
        <v>2283</v>
      </c>
      <c r="B1878" s="30">
        <v>178</v>
      </c>
    </row>
    <row r="1879" spans="1:4">
      <c r="A1879" s="84" t="s">
        <v>2282</v>
      </c>
      <c r="B1879" s="30">
        <v>49</v>
      </c>
    </row>
    <row r="1880" spans="1:4">
      <c r="A1880" s="277" t="s">
        <v>238</v>
      </c>
      <c r="B1880" s="30">
        <f>SUM(B1875:B1879)</f>
        <v>669</v>
      </c>
    </row>
    <row r="1882" spans="1:4">
      <c r="A1882" s="218" t="s">
        <v>2284</v>
      </c>
      <c r="B1882" s="101" t="s">
        <v>1323</v>
      </c>
      <c r="C1882" s="101" t="s">
        <v>1324</v>
      </c>
      <c r="D1882" s="101" t="s">
        <v>238</v>
      </c>
    </row>
    <row r="1883" spans="1:4">
      <c r="A1883" s="101" t="s">
        <v>2285</v>
      </c>
      <c r="B1883" s="30">
        <v>8670</v>
      </c>
      <c r="C1883" s="30">
        <v>1500</v>
      </c>
      <c r="D1883" s="219">
        <f>C1883+B1883</f>
        <v>10170</v>
      </c>
    </row>
    <row r="1884" spans="1:4">
      <c r="A1884" s="101" t="s">
        <v>1234</v>
      </c>
      <c r="B1884" s="30"/>
      <c r="C1884" s="30"/>
      <c r="D1884" s="219">
        <v>9971</v>
      </c>
    </row>
    <row r="1885" spans="1:4">
      <c r="A1885" s="101" t="s">
        <v>1235</v>
      </c>
      <c r="B1885" s="30"/>
      <c r="C1885" s="30">
        <v>0</v>
      </c>
      <c r="D1885" s="219">
        <f t="shared" ref="D1885:D1886" si="27">C1885+B1885</f>
        <v>0</v>
      </c>
    </row>
    <row r="1886" spans="1:4">
      <c r="A1886" s="101" t="s">
        <v>1322</v>
      </c>
      <c r="B1886" s="30">
        <v>8330</v>
      </c>
      <c r="C1886" s="30">
        <v>1300</v>
      </c>
      <c r="D1886" s="219">
        <f t="shared" si="27"/>
        <v>9630</v>
      </c>
    </row>
    <row r="1888" spans="1:4">
      <c r="A1888" s="554" t="s">
        <v>2286</v>
      </c>
      <c r="B1888" s="354" t="s">
        <v>1060</v>
      </c>
      <c r="C1888" s="530" t="s">
        <v>1428</v>
      </c>
      <c r="D1888" s="530" t="s">
        <v>2293</v>
      </c>
    </row>
    <row r="1889" spans="1:4">
      <c r="A1889" s="554" t="s">
        <v>2294</v>
      </c>
      <c r="B1889" s="100">
        <v>2</v>
      </c>
      <c r="C1889" s="30">
        <v>161.97999999999999</v>
      </c>
      <c r="D1889" s="30">
        <v>175.4</v>
      </c>
    </row>
    <row r="1890" spans="1:4">
      <c r="A1890" s="554" t="s">
        <v>2295</v>
      </c>
      <c r="B1890" s="100">
        <v>2</v>
      </c>
      <c r="C1890" s="30">
        <v>311.06</v>
      </c>
      <c r="D1890" s="30">
        <v>158.6</v>
      </c>
    </row>
    <row r="1891" spans="1:4">
      <c r="A1891" s="554" t="s">
        <v>2287</v>
      </c>
      <c r="B1891" s="100">
        <v>1</v>
      </c>
      <c r="C1891" s="30">
        <v>121.76</v>
      </c>
      <c r="D1891" s="30">
        <v>44.4</v>
      </c>
    </row>
    <row r="1892" spans="1:4">
      <c r="A1892" s="554" t="s">
        <v>2288</v>
      </c>
      <c r="B1892" s="100">
        <v>2</v>
      </c>
      <c r="C1892" s="30">
        <v>28.82</v>
      </c>
      <c r="D1892" s="30">
        <v>59</v>
      </c>
    </row>
    <row r="1893" spans="1:4">
      <c r="A1893" s="554" t="s">
        <v>2288</v>
      </c>
      <c r="B1893" s="100">
        <v>2</v>
      </c>
      <c r="C1893" s="16">
        <v>53.52</v>
      </c>
      <c r="D1893" s="30">
        <v>101.4</v>
      </c>
    </row>
    <row r="1894" spans="1:4">
      <c r="A1894" s="554" t="s">
        <v>2296</v>
      </c>
      <c r="B1894" s="100">
        <v>1</v>
      </c>
      <c r="C1894" s="30">
        <v>78.3</v>
      </c>
      <c r="D1894" s="30"/>
    </row>
    <row r="1895" spans="1:4">
      <c r="A1895" s="554" t="s">
        <v>2297</v>
      </c>
      <c r="B1895" s="710">
        <v>1</v>
      </c>
      <c r="C1895" s="595">
        <v>68.64</v>
      </c>
      <c r="D1895" s="16"/>
    </row>
    <row r="1896" spans="1:4">
      <c r="A1896" s="554" t="s">
        <v>2289</v>
      </c>
      <c r="B1896" s="100">
        <v>2</v>
      </c>
      <c r="C1896" s="30">
        <v>70.56</v>
      </c>
      <c r="D1896" s="30">
        <v>66</v>
      </c>
    </row>
    <row r="1897" spans="1:4">
      <c r="A1897" s="554" t="s">
        <v>2290</v>
      </c>
      <c r="B1897" s="100">
        <v>2</v>
      </c>
      <c r="C1897" s="30">
        <f>43.71+43.56</f>
        <v>87.27000000000001</v>
      </c>
      <c r="D1897" s="30">
        <f>66+68</f>
        <v>134</v>
      </c>
    </row>
    <row r="1898" spans="1:4">
      <c r="A1898" s="554" t="s">
        <v>2214</v>
      </c>
      <c r="B1898" s="100">
        <v>2</v>
      </c>
      <c r="C1898" s="30">
        <v>583.1</v>
      </c>
      <c r="D1898" s="30">
        <v>584</v>
      </c>
    </row>
    <row r="1899" spans="1:4">
      <c r="A1899" s="554" t="s">
        <v>2291</v>
      </c>
      <c r="B1899" s="100">
        <v>2</v>
      </c>
      <c r="C1899" s="30">
        <v>101.72</v>
      </c>
      <c r="D1899" s="781">
        <v>158</v>
      </c>
    </row>
    <row r="1900" spans="1:4">
      <c r="A1900" s="554" t="s">
        <v>2217</v>
      </c>
      <c r="B1900" s="100">
        <v>2</v>
      </c>
      <c r="C1900" s="781">
        <v>21.22</v>
      </c>
      <c r="D1900" s="783"/>
    </row>
    <row r="1901" spans="1:4">
      <c r="A1901" s="554" t="s">
        <v>2216</v>
      </c>
      <c r="B1901" s="100">
        <v>2</v>
      </c>
      <c r="C1901" s="782"/>
      <c r="D1901" s="782"/>
    </row>
    <row r="1902" spans="1:4">
      <c r="A1902" s="554" t="s">
        <v>1327</v>
      </c>
      <c r="B1902" s="100">
        <v>1</v>
      </c>
      <c r="C1902" s="30">
        <v>18.010000000000002</v>
      </c>
      <c r="D1902" s="30">
        <v>16.5</v>
      </c>
    </row>
    <row r="1903" spans="1:4">
      <c r="A1903" s="554" t="s">
        <v>2298</v>
      </c>
      <c r="B1903" s="710">
        <v>1</v>
      </c>
      <c r="C1903" s="595">
        <v>11.04</v>
      </c>
      <c r="D1903" s="595">
        <v>10.6</v>
      </c>
    </row>
    <row r="1904" spans="1:4">
      <c r="A1904" s="554" t="s">
        <v>1405</v>
      </c>
      <c r="B1904" s="100">
        <v>1</v>
      </c>
      <c r="C1904" s="30">
        <v>13.95</v>
      </c>
      <c r="D1904" s="30"/>
    </row>
    <row r="1905" spans="1:7">
      <c r="A1905" s="554" t="s">
        <v>2292</v>
      </c>
      <c r="B1905" s="100">
        <v>4</v>
      </c>
      <c r="C1905" s="30">
        <v>129.19999999999999</v>
      </c>
      <c r="D1905" s="30">
        <v>161.19999999999999</v>
      </c>
    </row>
    <row r="1906" spans="1:7">
      <c r="A1906" s="748" t="s">
        <v>238</v>
      </c>
      <c r="B1906" s="749"/>
      <c r="C1906" s="622">
        <f>SUM(C1889:C1905)</f>
        <v>1860.1499999999999</v>
      </c>
      <c r="D1906" s="622">
        <f>SUM(D1889:D1905)</f>
        <v>1669.1</v>
      </c>
    </row>
    <row r="1908" spans="1:7">
      <c r="A1908" s="554" t="s">
        <v>2299</v>
      </c>
      <c r="B1908" s="354" t="s">
        <v>1060</v>
      </c>
      <c r="C1908" s="101" t="s">
        <v>1049</v>
      </c>
    </row>
    <row r="1909" spans="1:7">
      <c r="A1909" s="554" t="s">
        <v>2300</v>
      </c>
      <c r="B1909" s="100" t="s">
        <v>2301</v>
      </c>
      <c r="C1909" s="30">
        <v>90.76</v>
      </c>
    </row>
    <row r="1911" spans="1:7">
      <c r="A1911" s="218" t="s">
        <v>2302</v>
      </c>
      <c r="B1911" s="354" t="s">
        <v>1060</v>
      </c>
      <c r="C1911" s="101" t="s">
        <v>2307</v>
      </c>
      <c r="D1911" s="101" t="s">
        <v>213</v>
      </c>
      <c r="E1911" s="101" t="s">
        <v>306</v>
      </c>
      <c r="F1911" s="101" t="s">
        <v>2309</v>
      </c>
      <c r="G1911" s="218" t="s">
        <v>830</v>
      </c>
    </row>
    <row r="1912" spans="1:7">
      <c r="A1912" s="218" t="s">
        <v>2303</v>
      </c>
      <c r="B1912" s="3">
        <v>281</v>
      </c>
      <c r="C1912" s="16">
        <f>B1912/12</f>
        <v>23.416666666666668</v>
      </c>
      <c r="D1912" s="30">
        <f>32*C1912</f>
        <v>749.33333333333337</v>
      </c>
      <c r="E1912" s="30">
        <v>645.6</v>
      </c>
      <c r="F1912" s="30">
        <v>689</v>
      </c>
      <c r="G1912" s="30">
        <v>715</v>
      </c>
    </row>
    <row r="1913" spans="1:7">
      <c r="A1913" s="218" t="s">
        <v>2304</v>
      </c>
      <c r="B1913" s="3">
        <v>218</v>
      </c>
      <c r="C1913" s="16">
        <f t="shared" ref="C1913:C1915" si="28">B1913/12</f>
        <v>18.166666666666668</v>
      </c>
      <c r="D1913" s="30">
        <f>48*C1913</f>
        <v>872</v>
      </c>
      <c r="E1913" s="30">
        <v>758.1</v>
      </c>
      <c r="F1913" s="30">
        <v>791.8</v>
      </c>
      <c r="G1913" s="30">
        <v>780</v>
      </c>
    </row>
    <row r="1914" spans="1:7">
      <c r="A1914" s="218" t="s">
        <v>2305</v>
      </c>
      <c r="B1914" s="3">
        <v>16</v>
      </c>
      <c r="C1914" s="16">
        <f t="shared" si="28"/>
        <v>1.3333333333333333</v>
      </c>
      <c r="D1914" s="30">
        <v>0</v>
      </c>
      <c r="E1914" s="30">
        <v>132</v>
      </c>
      <c r="F1914" s="30">
        <v>117.68</v>
      </c>
      <c r="G1914" s="30">
        <v>127</v>
      </c>
    </row>
    <row r="1915" spans="1:7">
      <c r="A1915" s="218" t="s">
        <v>2306</v>
      </c>
      <c r="B1915" s="3">
        <v>144</v>
      </c>
      <c r="C1915" s="16">
        <f t="shared" si="28"/>
        <v>12</v>
      </c>
      <c r="D1915" s="30">
        <f>189*C1915</f>
        <v>2268</v>
      </c>
      <c r="E1915" s="30">
        <v>3132</v>
      </c>
      <c r="F1915" s="30">
        <v>2106.44</v>
      </c>
      <c r="G1915" s="30">
        <v>2158</v>
      </c>
    </row>
    <row r="1916" spans="1:7">
      <c r="A1916" s="706" t="s">
        <v>238</v>
      </c>
      <c r="B1916" s="707"/>
      <c r="C1916" s="16"/>
      <c r="D1916" s="311">
        <f>SUM(D1912:D1915)</f>
        <v>3889.3333333333335</v>
      </c>
      <c r="E1916" s="311">
        <f t="shared" ref="E1916:G1916" si="29">SUM(E1912:E1915)</f>
        <v>4667.7</v>
      </c>
      <c r="F1916" s="311">
        <f t="shared" si="29"/>
        <v>3704.92</v>
      </c>
      <c r="G1916" s="311">
        <f t="shared" si="29"/>
        <v>3780</v>
      </c>
    </row>
    <row r="1917" spans="1:7">
      <c r="G1917" s="72"/>
    </row>
    <row r="1919" spans="1:7">
      <c r="A1919" s="218" t="s">
        <v>2308</v>
      </c>
      <c r="B1919" s="101" t="s">
        <v>625</v>
      </c>
    </row>
    <row r="1920" spans="1:7">
      <c r="A1920" s="218" t="s">
        <v>2423</v>
      </c>
      <c r="B1920" s="30">
        <v>120</v>
      </c>
    </row>
    <row r="1921" spans="1:7">
      <c r="A1921" s="218" t="s">
        <v>2424</v>
      </c>
      <c r="B1921" s="30">
        <v>80</v>
      </c>
    </row>
    <row r="1923" spans="1:7">
      <c r="A1923" s="330" t="s">
        <v>2348</v>
      </c>
      <c r="B1923" s="530" t="s">
        <v>878</v>
      </c>
      <c r="D1923" s="117"/>
      <c r="E1923" s="72"/>
      <c r="F1923" s="72"/>
      <c r="G1923" s="72"/>
    </row>
    <row r="1924" spans="1:7">
      <c r="A1924" s="84" t="s">
        <v>2279</v>
      </c>
      <c r="B1924" s="30">
        <v>75</v>
      </c>
      <c r="D1924" s="117"/>
      <c r="E1924" s="1"/>
      <c r="F1924" s="272"/>
      <c r="G1924" s="779"/>
    </row>
    <row r="1925" spans="1:7">
      <c r="A1925" s="84" t="s">
        <v>2280</v>
      </c>
      <c r="B1925" s="30">
        <v>269</v>
      </c>
      <c r="D1925" s="117"/>
      <c r="E1925" s="1"/>
      <c r="F1925" s="272"/>
      <c r="G1925" s="780"/>
    </row>
    <row r="1926" spans="1:7">
      <c r="A1926" s="84" t="s">
        <v>2281</v>
      </c>
      <c r="B1926" s="30">
        <v>98</v>
      </c>
    </row>
    <row r="1927" spans="1:7">
      <c r="A1927" s="84" t="s">
        <v>2283</v>
      </c>
      <c r="B1927" s="30">
        <v>178</v>
      </c>
      <c r="D1927" s="117"/>
      <c r="E1927" s="72"/>
      <c r="F1927" s="72"/>
    </row>
    <row r="1928" spans="1:7">
      <c r="A1928" s="84" t="s">
        <v>2282</v>
      </c>
      <c r="B1928" s="30">
        <v>49</v>
      </c>
      <c r="D1928" s="117"/>
      <c r="E1928" s="1"/>
      <c r="F1928" s="272"/>
    </row>
    <row r="1929" spans="1:7">
      <c r="A1929" s="277" t="s">
        <v>238</v>
      </c>
      <c r="B1929" s="315">
        <f>SUM(B1924:B1928)</f>
        <v>669</v>
      </c>
      <c r="E1929" s="117"/>
      <c r="F1929" s="117"/>
    </row>
    <row r="1932" spans="1:7">
      <c r="A1932" s="330" t="s">
        <v>2337</v>
      </c>
      <c r="B1932" s="530" t="s">
        <v>1428</v>
      </c>
    </row>
    <row r="1933" spans="1:7">
      <c r="A1933" s="331" t="s">
        <v>2338</v>
      </c>
      <c r="B1933" s="30">
        <v>199.77</v>
      </c>
    </row>
    <row r="1935" spans="1:7">
      <c r="A1935" s="330" t="s">
        <v>2317</v>
      </c>
      <c r="B1935" s="530" t="s">
        <v>528</v>
      </c>
      <c r="C1935" s="530" t="s">
        <v>1593</v>
      </c>
    </row>
    <row r="1936" spans="1:7">
      <c r="A1936" s="330" t="s">
        <v>2313</v>
      </c>
      <c r="B1936" s="30">
        <v>260</v>
      </c>
      <c r="C1936" s="30">
        <v>297</v>
      </c>
    </row>
    <row r="1938" spans="1:5">
      <c r="A1938" s="330" t="s">
        <v>2314</v>
      </c>
      <c r="B1938" s="530" t="s">
        <v>1593</v>
      </c>
    </row>
    <row r="1939" spans="1:5">
      <c r="A1939" s="330" t="s">
        <v>2315</v>
      </c>
      <c r="B1939" s="30">
        <v>237</v>
      </c>
    </row>
    <row r="1941" spans="1:5">
      <c r="A1941" s="330" t="s">
        <v>2333</v>
      </c>
      <c r="B1941" s="530" t="s">
        <v>2316</v>
      </c>
      <c r="C1941" s="530" t="s">
        <v>110</v>
      </c>
    </row>
    <row r="1942" spans="1:5">
      <c r="A1942" s="330" t="s">
        <v>1330</v>
      </c>
      <c r="B1942" s="30">
        <v>18388.009999999998</v>
      </c>
      <c r="C1942" s="100" t="s">
        <v>2327</v>
      </c>
      <c r="D1942" s="118"/>
      <c r="E1942" s="49"/>
    </row>
    <row r="1943" spans="1:5">
      <c r="A1943" s="330" t="s">
        <v>2334</v>
      </c>
      <c r="B1943" s="30">
        <v>3680</v>
      </c>
      <c r="C1943" s="100" t="s">
        <v>2327</v>
      </c>
    </row>
    <row r="1944" spans="1:5">
      <c r="A1944" s="330" t="s">
        <v>2328</v>
      </c>
      <c r="B1944" s="30">
        <v>2900</v>
      </c>
      <c r="C1944" s="100" t="s">
        <v>2329</v>
      </c>
    </row>
    <row r="1945" spans="1:5">
      <c r="A1945" s="330" t="s">
        <v>2330</v>
      </c>
      <c r="B1945" s="30">
        <v>2280</v>
      </c>
      <c r="C1945" s="100" t="s">
        <v>2332</v>
      </c>
    </row>
    <row r="1946" spans="1:5">
      <c r="A1946" s="330" t="s">
        <v>2330</v>
      </c>
      <c r="B1946" s="30">
        <v>3280</v>
      </c>
      <c r="C1946" s="100" t="s">
        <v>2331</v>
      </c>
    </row>
    <row r="1949" spans="1:5">
      <c r="A1949" s="101" t="s">
        <v>2336</v>
      </c>
      <c r="B1949" s="554" t="s">
        <v>1541</v>
      </c>
      <c r="C1949" s="101" t="s">
        <v>346</v>
      </c>
      <c r="D1949" s="101"/>
      <c r="E1949" s="774" t="s">
        <v>2318</v>
      </c>
    </row>
    <row r="1950" spans="1:5">
      <c r="A1950" s="544" t="s">
        <v>319</v>
      </c>
      <c r="B1950" s="545" t="s">
        <v>33</v>
      </c>
      <c r="C1950" s="545" t="s">
        <v>1538</v>
      </c>
      <c r="D1950" s="545" t="s">
        <v>1230</v>
      </c>
      <c r="E1950" s="775"/>
    </row>
    <row r="1951" spans="1:5">
      <c r="A1951" s="94" t="s">
        <v>1073</v>
      </c>
      <c r="B1951" s="100" t="s">
        <v>323</v>
      </c>
      <c r="C1951" s="30">
        <v>6.25</v>
      </c>
      <c r="D1951" s="16" t="s">
        <v>2085</v>
      </c>
      <c r="E1951" s="30">
        <v>6.37</v>
      </c>
    </row>
    <row r="1952" spans="1:5">
      <c r="A1952" s="94" t="s">
        <v>326</v>
      </c>
      <c r="B1952" s="100" t="s">
        <v>327</v>
      </c>
      <c r="C1952" s="114" t="s">
        <v>527</v>
      </c>
      <c r="D1952" s="16" t="s">
        <v>1998</v>
      </c>
      <c r="E1952" s="100" t="s">
        <v>527</v>
      </c>
    </row>
    <row r="1953" spans="1:5">
      <c r="A1953" s="94" t="s">
        <v>334</v>
      </c>
      <c r="B1953" s="100" t="s">
        <v>335</v>
      </c>
      <c r="C1953" s="30">
        <v>6.18</v>
      </c>
      <c r="D1953" s="16" t="s">
        <v>1745</v>
      </c>
      <c r="E1953" s="30">
        <v>6.18</v>
      </c>
    </row>
    <row r="1954" spans="1:5">
      <c r="A1954" s="3" t="s">
        <v>1542</v>
      </c>
      <c r="B1954" s="100" t="s">
        <v>1543</v>
      </c>
      <c r="C1954" s="30">
        <v>6.2</v>
      </c>
      <c r="D1954" s="16" t="s">
        <v>813</v>
      </c>
      <c r="E1954" s="30">
        <v>6.36</v>
      </c>
    </row>
    <row r="1956" spans="1:5">
      <c r="A1956" s="530" t="s">
        <v>2335</v>
      </c>
      <c r="B1956" s="530" t="s">
        <v>33</v>
      </c>
    </row>
    <row r="1957" spans="1:5">
      <c r="A1957" s="3" t="s">
        <v>2324</v>
      </c>
      <c r="B1957" s="3" t="s">
        <v>2319</v>
      </c>
    </row>
    <row r="1958" spans="1:5">
      <c r="A1958" s="3" t="s">
        <v>2325</v>
      </c>
      <c r="B1958" s="3" t="s">
        <v>2320</v>
      </c>
    </row>
    <row r="1959" spans="1:5">
      <c r="A1959" s="3" t="s">
        <v>2326</v>
      </c>
      <c r="B1959" s="3" t="s">
        <v>2321</v>
      </c>
    </row>
    <row r="1960" spans="1:5">
      <c r="A1960" s="3" t="s">
        <v>2323</v>
      </c>
      <c r="B1960" s="3" t="s">
        <v>2322</v>
      </c>
    </row>
    <row r="1962" spans="1:5">
      <c r="A1962" s="551" t="s">
        <v>2341</v>
      </c>
      <c r="B1962" s="530" t="s">
        <v>190</v>
      </c>
      <c r="C1962" s="530" t="s">
        <v>238</v>
      </c>
      <c r="D1962" s="530" t="s">
        <v>820</v>
      </c>
    </row>
    <row r="1963" spans="1:5">
      <c r="A1963" s="3" t="s">
        <v>1371</v>
      </c>
      <c r="B1963" s="100" t="s">
        <v>2339</v>
      </c>
      <c r="C1963" s="30">
        <v>6479.25</v>
      </c>
      <c r="D1963" s="100" t="s">
        <v>2087</v>
      </c>
    </row>
    <row r="1964" spans="1:5">
      <c r="A1964" s="3" t="s">
        <v>193</v>
      </c>
      <c r="B1964" s="16" t="s">
        <v>2340</v>
      </c>
      <c r="C1964" s="30">
        <v>8974.9500000000007</v>
      </c>
      <c r="D1964" s="100" t="s">
        <v>1925</v>
      </c>
      <c r="E1964" s="256"/>
    </row>
    <row r="1966" spans="1:5">
      <c r="A1966" s="330" t="s">
        <v>2343</v>
      </c>
      <c r="B1966" s="530" t="s">
        <v>1060</v>
      </c>
      <c r="C1966" s="530" t="s">
        <v>2344</v>
      </c>
    </row>
    <row r="1967" spans="1:5">
      <c r="A1967" s="84" t="s">
        <v>2345</v>
      </c>
      <c r="B1967" s="100">
        <v>18</v>
      </c>
      <c r="C1967" s="30">
        <v>64.62</v>
      </c>
    </row>
    <row r="1968" spans="1:5">
      <c r="A1968" s="84" t="s">
        <v>2346</v>
      </c>
      <c r="B1968" s="100">
        <v>18</v>
      </c>
      <c r="C1968" s="30">
        <v>33.299999999999997</v>
      </c>
    </row>
    <row r="1969" spans="1:7">
      <c r="A1969" s="84" t="s">
        <v>2347</v>
      </c>
      <c r="B1969" s="100">
        <v>18</v>
      </c>
      <c r="C1969" s="30">
        <v>9</v>
      </c>
    </row>
    <row r="1972" spans="1:7">
      <c r="A1972" s="330" t="s">
        <v>2185</v>
      </c>
      <c r="B1972" s="530" t="s">
        <v>1760</v>
      </c>
      <c r="C1972" s="330" t="s">
        <v>2220</v>
      </c>
      <c r="D1972" s="530" t="s">
        <v>1936</v>
      </c>
    </row>
    <row r="1973" spans="1:7">
      <c r="A1973" s="330" t="s">
        <v>2186</v>
      </c>
      <c r="B1973" s="30">
        <v>3991.37</v>
      </c>
      <c r="C1973" s="30">
        <v>6700</v>
      </c>
      <c r="D1973" s="30">
        <v>13549.9</v>
      </c>
    </row>
    <row r="1975" spans="1:7">
      <c r="A1975" s="330" t="s">
        <v>2351</v>
      </c>
      <c r="B1975" s="330" t="s">
        <v>2186</v>
      </c>
      <c r="C1975" s="530" t="s">
        <v>1255</v>
      </c>
    </row>
    <row r="1976" spans="1:7">
      <c r="A1976" s="551" t="s">
        <v>1760</v>
      </c>
      <c r="B1976" s="30">
        <v>2663.39</v>
      </c>
      <c r="C1976" s="100" t="s">
        <v>1167</v>
      </c>
    </row>
    <row r="1977" spans="1:7">
      <c r="A1977" s="551" t="s">
        <v>1936</v>
      </c>
      <c r="B1977" s="30">
        <v>13500</v>
      </c>
      <c r="C1977" s="100" t="s">
        <v>1167</v>
      </c>
    </row>
    <row r="1978" spans="1:7">
      <c r="A1978" s="551" t="s">
        <v>2360</v>
      </c>
      <c r="B1978" s="30">
        <v>6580</v>
      </c>
      <c r="C1978" s="100" t="s">
        <v>2361</v>
      </c>
    </row>
    <row r="1980" spans="1:7">
      <c r="A1980" s="330" t="s">
        <v>2596</v>
      </c>
      <c r="B1980" s="530" t="s">
        <v>878</v>
      </c>
      <c r="D1980" s="330" t="s">
        <v>2349</v>
      </c>
      <c r="E1980" s="530" t="s">
        <v>1060</v>
      </c>
      <c r="F1980" s="530" t="s">
        <v>238</v>
      </c>
      <c r="G1980" s="530" t="s">
        <v>238</v>
      </c>
    </row>
    <row r="1981" spans="1:7">
      <c r="A1981" s="84" t="s">
        <v>2279</v>
      </c>
      <c r="B1981" s="30">
        <v>75</v>
      </c>
      <c r="D1981" s="84" t="s">
        <v>2279</v>
      </c>
      <c r="E1981" s="100">
        <v>2</v>
      </c>
      <c r="F1981" s="315">
        <v>150</v>
      </c>
      <c r="G1981" s="772">
        <f>F1981+F1982</f>
        <v>386</v>
      </c>
    </row>
    <row r="1982" spans="1:7">
      <c r="A1982" s="84" t="s">
        <v>2280</v>
      </c>
      <c r="B1982" s="30">
        <v>269</v>
      </c>
      <c r="D1982" s="84" t="s">
        <v>2350</v>
      </c>
      <c r="E1982" s="100">
        <v>4</v>
      </c>
      <c r="F1982" s="315">
        <v>236</v>
      </c>
      <c r="G1982" s="773"/>
    </row>
    <row r="1983" spans="1:7">
      <c r="A1983" s="84" t="s">
        <v>2281</v>
      </c>
      <c r="B1983" s="30">
        <v>98</v>
      </c>
    </row>
    <row r="1984" spans="1:7">
      <c r="A1984" s="84" t="s">
        <v>2283</v>
      </c>
      <c r="B1984" s="30">
        <v>178</v>
      </c>
      <c r="D1984" s="330" t="s">
        <v>2311</v>
      </c>
      <c r="E1984" s="530" t="s">
        <v>1060</v>
      </c>
      <c r="F1984" s="530" t="s">
        <v>238</v>
      </c>
    </row>
    <row r="1985" spans="1:8">
      <c r="A1985" s="84" t="s">
        <v>2282</v>
      </c>
      <c r="B1985" s="30">
        <v>49</v>
      </c>
      <c r="D1985" s="84" t="s">
        <v>2312</v>
      </c>
      <c r="E1985" s="100">
        <v>15</v>
      </c>
      <c r="F1985" s="315">
        <v>3375</v>
      </c>
    </row>
    <row r="1986" spans="1:8">
      <c r="A1986" s="277" t="s">
        <v>238</v>
      </c>
      <c r="B1986" s="315">
        <f>SUM(B1981:B1985)</f>
        <v>669</v>
      </c>
      <c r="E1986" s="711" t="s">
        <v>2354</v>
      </c>
      <c r="F1986" s="711" t="s">
        <v>2355</v>
      </c>
    </row>
    <row r="1987" spans="1:8">
      <c r="D1987" s="384" t="s">
        <v>2352</v>
      </c>
      <c r="E1987" s="30">
        <v>59</v>
      </c>
      <c r="F1987" s="30">
        <v>169</v>
      </c>
    </row>
    <row r="1988" spans="1:8">
      <c r="D1988" s="384" t="s">
        <v>2353</v>
      </c>
      <c r="E1988" s="30">
        <v>75</v>
      </c>
      <c r="F1988" s="30">
        <v>225</v>
      </c>
    </row>
    <row r="1989" spans="1:8">
      <c r="A1989" s="83">
        <v>46211</v>
      </c>
      <c r="D1989" t="s">
        <v>2356</v>
      </c>
    </row>
    <row r="1990" spans="1:8" ht="15" customHeight="1">
      <c r="A1990" s="514" t="s">
        <v>2355</v>
      </c>
      <c r="B1990" s="530" t="s">
        <v>1060</v>
      </c>
      <c r="C1990" s="530" t="s">
        <v>878</v>
      </c>
      <c r="D1990" s="530" t="s">
        <v>2363</v>
      </c>
      <c r="E1990" s="530" t="s">
        <v>2358</v>
      </c>
      <c r="F1990" s="609" t="s">
        <v>2359</v>
      </c>
      <c r="G1990" s="530" t="s">
        <v>2362</v>
      </c>
      <c r="H1990" s="530" t="s">
        <v>2412</v>
      </c>
    </row>
    <row r="1991" spans="1:8">
      <c r="A1991" s="84" t="s">
        <v>2350</v>
      </c>
      <c r="B1991" s="100">
        <v>10</v>
      </c>
      <c r="C1991" s="30">
        <v>1690</v>
      </c>
      <c r="D1991" s="30">
        <v>1500</v>
      </c>
      <c r="E1991" s="30">
        <v>1339.8</v>
      </c>
      <c r="F1991" s="30">
        <v>1750</v>
      </c>
      <c r="G1991" s="116">
        <v>1500</v>
      </c>
      <c r="H1991" s="116">
        <v>1500</v>
      </c>
    </row>
    <row r="1992" spans="1:8">
      <c r="A1992" s="84" t="s">
        <v>2357</v>
      </c>
      <c r="B1992" s="100">
        <v>1</v>
      </c>
      <c r="C1992" s="30">
        <v>2985</v>
      </c>
      <c r="D1992" s="30">
        <v>1800</v>
      </c>
      <c r="E1992" s="30">
        <v>2595</v>
      </c>
      <c r="F1992" s="30">
        <v>2890</v>
      </c>
      <c r="G1992" s="116">
        <v>2600</v>
      </c>
      <c r="H1992" s="116">
        <v>1800</v>
      </c>
    </row>
    <row r="1994" spans="1:8">
      <c r="A1994" s="514" t="s">
        <v>2354</v>
      </c>
      <c r="B1994" s="530" t="s">
        <v>1060</v>
      </c>
      <c r="C1994" s="530" t="s">
        <v>878</v>
      </c>
      <c r="D1994" s="530" t="s">
        <v>2363</v>
      </c>
      <c r="E1994" s="530" t="s">
        <v>2358</v>
      </c>
      <c r="F1994" s="530" t="s">
        <v>2359</v>
      </c>
      <c r="G1994" s="530" t="s">
        <v>2362</v>
      </c>
      <c r="H1994" s="530" t="s">
        <v>2412</v>
      </c>
    </row>
    <row r="1995" spans="1:8">
      <c r="A1995" s="84" t="s">
        <v>2279</v>
      </c>
      <c r="B1995" s="100">
        <v>9</v>
      </c>
      <c r="C1995" s="30">
        <f>9*75</f>
        <v>675</v>
      </c>
      <c r="D1995" s="30">
        <f>9*80</f>
        <v>720</v>
      </c>
      <c r="E1995" s="30">
        <v>765</v>
      </c>
      <c r="F1995" s="30">
        <v>540</v>
      </c>
      <c r="G1995" s="30">
        <v>540</v>
      </c>
      <c r="H1995" s="116">
        <v>675</v>
      </c>
    </row>
    <row r="1996" spans="1:8">
      <c r="A1996" s="84" t="s">
        <v>2282</v>
      </c>
      <c r="B1996" s="100">
        <v>2</v>
      </c>
      <c r="C1996" s="30">
        <v>98</v>
      </c>
      <c r="D1996" s="30">
        <v>80</v>
      </c>
      <c r="E1996" s="30">
        <v>120</v>
      </c>
      <c r="F1996" s="30">
        <v>80</v>
      </c>
      <c r="G1996" s="30">
        <v>60</v>
      </c>
      <c r="H1996" s="116">
        <v>60</v>
      </c>
    </row>
    <row r="1997" spans="1:8">
      <c r="A1997" s="84" t="s">
        <v>2280</v>
      </c>
      <c r="B1997" s="100">
        <v>2</v>
      </c>
      <c r="C1997" s="30">
        <v>538</v>
      </c>
      <c r="D1997" s="30">
        <v>500</v>
      </c>
      <c r="E1997" s="30">
        <v>700</v>
      </c>
      <c r="F1997" s="30">
        <v>460</v>
      </c>
      <c r="G1997" s="30">
        <v>500</v>
      </c>
      <c r="H1997" s="116">
        <v>490</v>
      </c>
    </row>
    <row r="1998" spans="1:8">
      <c r="A1998" s="84" t="s">
        <v>2283</v>
      </c>
      <c r="B1998" s="100">
        <v>2</v>
      </c>
      <c r="C1998" s="30">
        <v>178</v>
      </c>
      <c r="D1998" s="30">
        <v>500</v>
      </c>
      <c r="E1998" s="30">
        <v>70</v>
      </c>
      <c r="F1998" s="30">
        <v>480</v>
      </c>
      <c r="G1998" s="30">
        <v>320</v>
      </c>
      <c r="H1998" s="116">
        <v>400</v>
      </c>
    </row>
    <row r="1999" spans="1:8">
      <c r="A1999" s="84" t="s">
        <v>2281</v>
      </c>
      <c r="B1999" s="100">
        <v>1</v>
      </c>
      <c r="C1999" s="30">
        <v>98</v>
      </c>
      <c r="D1999" s="30">
        <v>80</v>
      </c>
      <c r="E1999" s="30">
        <v>105</v>
      </c>
      <c r="F1999" s="30">
        <v>90</v>
      </c>
      <c r="G1999" s="30">
        <v>90</v>
      </c>
      <c r="H1999" s="116">
        <v>80</v>
      </c>
    </row>
    <row r="2000" spans="1:8">
      <c r="A2000" s="837" t="s">
        <v>238</v>
      </c>
      <c r="B2000" s="837"/>
      <c r="C2000" s="346">
        <f t="shared" ref="C2000:D2000" si="30">C1991+C1992+C1995+C1996+C1997+C1998+C1999</f>
        <v>6262</v>
      </c>
      <c r="D2000" s="346">
        <f t="shared" si="30"/>
        <v>5180</v>
      </c>
      <c r="E2000" s="346">
        <f>E1991+E1992+E1995+E1996+E1997+E1998+E1999</f>
        <v>5694.8</v>
      </c>
      <c r="F2000" s="346">
        <f>F1991+F1992+F1995+F1996+F1997+F1998+F1999</f>
        <v>6290</v>
      </c>
      <c r="G2000" s="346">
        <f>G1991+G1992+G1995+G1996+G1997+G1998+G1999</f>
        <v>5610</v>
      </c>
      <c r="H2000" s="346">
        <f>H1991+H1992+H1995+H1996+H1997+H1998+H1999</f>
        <v>5005</v>
      </c>
    </row>
    <row r="2001" spans="1:8">
      <c r="G2001" s="16" t="s">
        <v>2414</v>
      </c>
      <c r="H2001" s="116">
        <v>75</v>
      </c>
    </row>
    <row r="2002" spans="1:8">
      <c r="A2002" s="330" t="s">
        <v>2364</v>
      </c>
      <c r="B2002" s="530" t="s">
        <v>2370</v>
      </c>
      <c r="G2002" s="16" t="s">
        <v>2413</v>
      </c>
      <c r="H2002" s="116">
        <v>34</v>
      </c>
    </row>
    <row r="2003" spans="1:8">
      <c r="A2003" s="84" t="s">
        <v>2365</v>
      </c>
      <c r="B2003" s="30">
        <v>360</v>
      </c>
      <c r="G2003" s="16"/>
      <c r="H2003" s="616">
        <f>H2000+H2001+H2002</f>
        <v>5114</v>
      </c>
    </row>
    <row r="2004" spans="1:8">
      <c r="A2004" s="84" t="s">
        <v>2368</v>
      </c>
      <c r="B2004" s="30">
        <v>320</v>
      </c>
    </row>
    <row r="2005" spans="1:8">
      <c r="A2005" s="84" t="s">
        <v>2369</v>
      </c>
      <c r="B2005" s="30">
        <v>540</v>
      </c>
    </row>
    <row r="2006" spans="1:8">
      <c r="A2006" s="84" t="s">
        <v>2366</v>
      </c>
      <c r="B2006" s="30">
        <v>434.85</v>
      </c>
    </row>
    <row r="2007" spans="1:8">
      <c r="A2007" s="84" t="s">
        <v>2367</v>
      </c>
      <c r="B2007" s="30">
        <v>489.56</v>
      </c>
    </row>
    <row r="2008" spans="1:8">
      <c r="A2008" s="84" t="s">
        <v>2372</v>
      </c>
      <c r="B2008" s="30">
        <v>637</v>
      </c>
    </row>
    <row r="2009" spans="1:8">
      <c r="A2009" s="84" t="s">
        <v>2371</v>
      </c>
      <c r="B2009" s="116">
        <v>595</v>
      </c>
    </row>
    <row r="2010" spans="1:8" ht="15" thickBot="1"/>
    <row r="2011" spans="1:8" ht="16.2" thickBot="1">
      <c r="A2011" s="745" t="s">
        <v>2373</v>
      </c>
      <c r="B2011" s="746"/>
      <c r="C2011" s="746"/>
      <c r="D2011" s="747"/>
    </row>
    <row r="2012" spans="1:8" ht="15" thickBot="1">
      <c r="A2012" s="304" t="s">
        <v>319</v>
      </c>
      <c r="B2012" s="305" t="s">
        <v>33</v>
      </c>
      <c r="C2012" s="305" t="s">
        <v>820</v>
      </c>
      <c r="D2012" s="306"/>
    </row>
    <row r="2013" spans="1:8">
      <c r="A2013" s="140" t="s">
        <v>322</v>
      </c>
      <c r="B2013" s="141" t="s">
        <v>323</v>
      </c>
      <c r="C2013" s="302">
        <v>6.21</v>
      </c>
      <c r="D2013" s="542"/>
    </row>
    <row r="2014" spans="1:8">
      <c r="A2014" s="3" t="s">
        <v>326</v>
      </c>
      <c r="B2014" s="100" t="s">
        <v>327</v>
      </c>
      <c r="C2014" s="30">
        <v>6.09</v>
      </c>
      <c r="D2014" s="100"/>
    </row>
    <row r="2015" spans="1:8">
      <c r="A2015" s="3" t="s">
        <v>330</v>
      </c>
      <c r="B2015" s="100" t="s">
        <v>331</v>
      </c>
      <c r="C2015" s="30">
        <v>6.1</v>
      </c>
      <c r="D2015" s="100" t="s">
        <v>2375</v>
      </c>
    </row>
    <row r="2016" spans="1:8">
      <c r="A2016" s="3" t="s">
        <v>702</v>
      </c>
      <c r="B2016" s="100" t="s">
        <v>703</v>
      </c>
      <c r="C2016" s="30"/>
      <c r="D2016" s="100"/>
    </row>
    <row r="2017" spans="1:5">
      <c r="A2017" s="3" t="s">
        <v>742</v>
      </c>
      <c r="B2017" s="100" t="s">
        <v>743</v>
      </c>
      <c r="C2017" s="30"/>
      <c r="D2017" s="100"/>
    </row>
    <row r="2018" spans="1:5">
      <c r="A2018" s="3" t="s">
        <v>1542</v>
      </c>
      <c r="B2018" s="100" t="s">
        <v>1543</v>
      </c>
      <c r="C2018" s="30">
        <v>6.2</v>
      </c>
      <c r="D2018" s="16" t="s">
        <v>813</v>
      </c>
      <c r="E2018" t="s">
        <v>2374</v>
      </c>
    </row>
    <row r="2020" spans="1:5">
      <c r="A2020" s="551" t="s">
        <v>2376</v>
      </c>
      <c r="B2020" s="530" t="s">
        <v>2410</v>
      </c>
    </row>
    <row r="2021" spans="1:5">
      <c r="A2021" s="278" t="s">
        <v>2411</v>
      </c>
      <c r="B2021" s="115">
        <v>105</v>
      </c>
    </row>
    <row r="2023" spans="1:5">
      <c r="A2023" s="330" t="s">
        <v>2377</v>
      </c>
      <c r="B2023" s="530" t="s">
        <v>528</v>
      </c>
      <c r="C2023" s="530" t="s">
        <v>1593</v>
      </c>
    </row>
    <row r="2024" spans="1:5">
      <c r="A2024" s="330" t="s">
        <v>1107</v>
      </c>
      <c r="B2024" s="30">
        <v>95</v>
      </c>
      <c r="C2024" s="30">
        <v>132.09</v>
      </c>
    </row>
    <row r="2026" spans="1:5">
      <c r="A2026" s="330" t="s">
        <v>2378</v>
      </c>
      <c r="B2026" s="530" t="s">
        <v>874</v>
      </c>
      <c r="C2026" s="530" t="s">
        <v>1031</v>
      </c>
      <c r="D2026" s="530" t="s">
        <v>528</v>
      </c>
    </row>
    <row r="2027" spans="1:5">
      <c r="A2027" s="330" t="s">
        <v>2379</v>
      </c>
      <c r="B2027" s="30">
        <v>6600</v>
      </c>
      <c r="C2027" s="30">
        <v>7590</v>
      </c>
      <c r="D2027" s="30">
        <v>6595</v>
      </c>
    </row>
    <row r="2028" spans="1:5">
      <c r="A2028" s="330" t="s">
        <v>2380</v>
      </c>
      <c r="B2028" s="16"/>
      <c r="C2028" s="16"/>
      <c r="D2028" s="16"/>
    </row>
    <row r="2030" spans="1:5">
      <c r="A2030" s="330" t="s">
        <v>2381</v>
      </c>
      <c r="B2030" s="530" t="s">
        <v>1377</v>
      </c>
      <c r="C2030" s="530" t="s">
        <v>1031</v>
      </c>
      <c r="D2030" s="530" t="s">
        <v>874</v>
      </c>
      <c r="E2030" s="530" t="s">
        <v>526</v>
      </c>
    </row>
    <row r="2031" spans="1:5">
      <c r="A2031" s="330" t="s">
        <v>2382</v>
      </c>
      <c r="B2031" s="30">
        <v>44.16</v>
      </c>
      <c r="C2031" s="3" t="s">
        <v>527</v>
      </c>
      <c r="D2031" s="3" t="s">
        <v>527</v>
      </c>
      <c r="E2031" s="3" t="s">
        <v>527</v>
      </c>
    </row>
    <row r="2032" spans="1:5">
      <c r="A2032" s="330" t="s">
        <v>2383</v>
      </c>
      <c r="B2032" s="16">
        <v>150.55000000000001</v>
      </c>
      <c r="C2032" s="3" t="s">
        <v>527</v>
      </c>
      <c r="D2032" s="3" t="s">
        <v>527</v>
      </c>
      <c r="E2032" s="3" t="s">
        <v>527</v>
      </c>
    </row>
    <row r="2033" spans="1:5">
      <c r="A2033" s="330" t="s">
        <v>2384</v>
      </c>
      <c r="B2033" s="16"/>
      <c r="C2033" s="16"/>
      <c r="D2033" s="16"/>
      <c r="E2033" s="16"/>
    </row>
    <row r="2035" spans="1:5">
      <c r="A2035" s="330" t="s">
        <v>2385</v>
      </c>
      <c r="B2035" s="530" t="s">
        <v>1593</v>
      </c>
      <c r="C2035" s="530" t="s">
        <v>1302</v>
      </c>
    </row>
    <row r="2036" spans="1:5">
      <c r="A2036" s="330" t="s">
        <v>2342</v>
      </c>
      <c r="B2036" s="30">
        <v>36.479999999999997</v>
      </c>
      <c r="C2036" s="30">
        <v>35.4</v>
      </c>
    </row>
    <row r="2038" spans="1:5">
      <c r="A2038" s="330" t="s">
        <v>2386</v>
      </c>
      <c r="B2038" s="530" t="s">
        <v>2391</v>
      </c>
      <c r="C2038" s="530" t="s">
        <v>2390</v>
      </c>
      <c r="D2038" s="530" t="s">
        <v>2388</v>
      </c>
      <c r="E2038" s="530" t="s">
        <v>2389</v>
      </c>
    </row>
    <row r="2039" spans="1:5">
      <c r="A2039" s="331" t="s">
        <v>2387</v>
      </c>
      <c r="B2039" s="30">
        <v>2512.42</v>
      </c>
      <c r="C2039" s="30">
        <v>317.10000000000002</v>
      </c>
      <c r="D2039" s="30"/>
      <c r="E2039" s="30">
        <v>498</v>
      </c>
    </row>
    <row r="2041" spans="1:5">
      <c r="A2041" s="330" t="s">
        <v>2392</v>
      </c>
      <c r="B2041" s="530" t="s">
        <v>1060</v>
      </c>
      <c r="C2041" s="530" t="s">
        <v>1661</v>
      </c>
    </row>
    <row r="2042" spans="1:5">
      <c r="A2042" s="330" t="s">
        <v>2393</v>
      </c>
      <c r="B2042" s="3">
        <v>1</v>
      </c>
      <c r="C2042" s="30"/>
    </row>
    <row r="2044" spans="1:5">
      <c r="A2044" s="330" t="s">
        <v>2392</v>
      </c>
      <c r="B2044" s="530" t="s">
        <v>1060</v>
      </c>
      <c r="C2044" s="530" t="s">
        <v>1204</v>
      </c>
    </row>
    <row r="2045" spans="1:5">
      <c r="A2045" s="330" t="s">
        <v>2394</v>
      </c>
      <c r="B2045" s="3">
        <v>4</v>
      </c>
      <c r="C2045" s="30">
        <v>453.96</v>
      </c>
    </row>
    <row r="2047" spans="1:5">
      <c r="A2047" s="330" t="s">
        <v>2392</v>
      </c>
      <c r="B2047" s="530" t="s">
        <v>1060</v>
      </c>
      <c r="C2047" s="530" t="s">
        <v>2396</v>
      </c>
    </row>
    <row r="2048" spans="1:5">
      <c r="A2048" s="330" t="s">
        <v>2395</v>
      </c>
      <c r="B2048" s="3">
        <v>8</v>
      </c>
      <c r="C2048" s="30">
        <f>15.9*B2048</f>
        <v>127.2</v>
      </c>
    </row>
    <row r="2050" spans="1:7">
      <c r="A2050" s="330" t="s">
        <v>2397</v>
      </c>
      <c r="B2050" s="530" t="s">
        <v>2270</v>
      </c>
      <c r="C2050" s="530" t="s">
        <v>1674</v>
      </c>
    </row>
    <row r="2051" spans="1:7">
      <c r="A2051" s="330" t="s">
        <v>2398</v>
      </c>
      <c r="B2051" s="100"/>
      <c r="C2051" s="30"/>
      <c r="D2051" s="118"/>
      <c r="E2051" s="118"/>
      <c r="F2051" s="118"/>
      <c r="G2051" s="118"/>
    </row>
    <row r="2052" spans="1:7">
      <c r="A2052" s="330" t="s">
        <v>2415</v>
      </c>
      <c r="B2052" s="100"/>
      <c r="C2052" s="30"/>
      <c r="D2052" s="118"/>
      <c r="E2052" s="118"/>
      <c r="F2052" s="118"/>
      <c r="G2052" s="118"/>
    </row>
    <row r="2053" spans="1:7">
      <c r="A2053" s="330" t="s">
        <v>2416</v>
      </c>
      <c r="B2053" s="100"/>
      <c r="C2053" s="30"/>
      <c r="D2053" s="1"/>
      <c r="E2053" s="118"/>
      <c r="F2053" s="118"/>
      <c r="G2053" s="118"/>
    </row>
    <row r="2054" spans="1:7">
      <c r="A2054" s="330" t="s">
        <v>2360</v>
      </c>
      <c r="B2054" s="16"/>
      <c r="C2054" s="16"/>
    </row>
    <row r="2056" spans="1:7">
      <c r="A2056" s="330" t="s">
        <v>1807</v>
      </c>
    </row>
    <row r="2057" spans="1:7">
      <c r="A2057" s="330" t="s">
        <v>1371</v>
      </c>
    </row>
    <row r="2062" spans="1:7">
      <c r="A2062" s="330" t="s">
        <v>2399</v>
      </c>
      <c r="B2062" s="330" t="s">
        <v>2400</v>
      </c>
    </row>
    <row r="2063" spans="1:7">
      <c r="A2063" s="551" t="s">
        <v>2184</v>
      </c>
      <c r="B2063" s="30">
        <v>0</v>
      </c>
      <c r="C2063" s="118"/>
      <c r="D2063" s="118"/>
    </row>
    <row r="2064" spans="1:7">
      <c r="A2064" s="551" t="s">
        <v>2171</v>
      </c>
      <c r="B2064" s="30">
        <v>600</v>
      </c>
      <c r="C2064" s="14" t="s">
        <v>2403</v>
      </c>
    </row>
    <row r="2065" spans="1:6">
      <c r="A2065" s="551" t="s">
        <v>662</v>
      </c>
      <c r="B2065" s="30">
        <v>2040.66</v>
      </c>
      <c r="C2065" t="s">
        <v>2403</v>
      </c>
    </row>
    <row r="2066" spans="1:6">
      <c r="A2066" s="551" t="s">
        <v>1656</v>
      </c>
      <c r="B2066" s="30">
        <v>1332.7</v>
      </c>
      <c r="C2066" t="s">
        <v>2403</v>
      </c>
    </row>
    <row r="2067" spans="1:6">
      <c r="A2067" s="551" t="s">
        <v>2401</v>
      </c>
      <c r="B2067" s="30">
        <v>2238.39</v>
      </c>
      <c r="C2067" t="s">
        <v>2403</v>
      </c>
    </row>
    <row r="2068" spans="1:6">
      <c r="A2068" s="551" t="s">
        <v>2402</v>
      </c>
      <c r="B2068" s="30"/>
    </row>
    <row r="2069" spans="1:6">
      <c r="A2069" s="551" t="s">
        <v>1657</v>
      </c>
      <c r="B2069" s="16"/>
    </row>
    <row r="2071" spans="1:6">
      <c r="A2071" s="551" t="s">
        <v>2404</v>
      </c>
      <c r="B2071" s="530" t="s">
        <v>2406</v>
      </c>
      <c r="C2071" s="530" t="s">
        <v>2407</v>
      </c>
      <c r="D2071" s="530" t="s">
        <v>56</v>
      </c>
    </row>
    <row r="2072" spans="1:6">
      <c r="A2072" s="330" t="s">
        <v>2405</v>
      </c>
      <c r="B2072" s="30">
        <v>14</v>
      </c>
      <c r="C2072" s="30">
        <v>2800</v>
      </c>
      <c r="D2072" s="100"/>
    </row>
    <row r="2073" spans="1:6">
      <c r="A2073" s="551" t="s">
        <v>2427</v>
      </c>
      <c r="B2073" s="30">
        <v>15.25</v>
      </c>
      <c r="C2073" s="30">
        <f>200*B2073</f>
        <v>3050</v>
      </c>
      <c r="D2073" s="100" t="s">
        <v>857</v>
      </c>
    </row>
    <row r="2074" spans="1:6">
      <c r="A2074" s="330" t="s">
        <v>2408</v>
      </c>
      <c r="B2074" s="30">
        <v>10.5</v>
      </c>
      <c r="C2074" s="30">
        <f>200*10.5</f>
        <v>2100</v>
      </c>
      <c r="D2074" s="115">
        <v>350</v>
      </c>
    </row>
    <row r="2075" spans="1:6">
      <c r="A2075" s="330" t="s">
        <v>2409</v>
      </c>
      <c r="B2075" s="30">
        <v>11</v>
      </c>
      <c r="C2075" s="30">
        <v>2200</v>
      </c>
      <c r="D2075" s="115" t="s">
        <v>2273</v>
      </c>
    </row>
    <row r="2076" spans="1:6">
      <c r="A2076" s="330" t="s">
        <v>2409</v>
      </c>
      <c r="B2076" s="30">
        <v>12</v>
      </c>
      <c r="C2076" s="30">
        <v>2400</v>
      </c>
      <c r="D2076" s="115">
        <v>250</v>
      </c>
    </row>
    <row r="2077" spans="1:6">
      <c r="A2077" s="330" t="s">
        <v>2419</v>
      </c>
      <c r="B2077" s="116">
        <v>12</v>
      </c>
      <c r="C2077" s="219">
        <f>200*B2077</f>
        <v>2400</v>
      </c>
      <c r="D2077" s="100" t="s">
        <v>857</v>
      </c>
    </row>
    <row r="2078" spans="1:6">
      <c r="A2078" s="330" t="s">
        <v>2419</v>
      </c>
      <c r="B2078" s="116">
        <v>11</v>
      </c>
      <c r="C2078" s="219">
        <f>200*B2078</f>
        <v>2200</v>
      </c>
      <c r="D2078" s="100" t="s">
        <v>2273</v>
      </c>
    </row>
    <row r="2079" spans="1:6">
      <c r="A2079" s="330" t="s">
        <v>2417</v>
      </c>
      <c r="B2079" s="30">
        <v>11.5</v>
      </c>
      <c r="C2079" s="30">
        <f>200*B2079</f>
        <v>2300</v>
      </c>
      <c r="D2079" s="100" t="s">
        <v>857</v>
      </c>
      <c r="E2079" s="798" t="s">
        <v>2426</v>
      </c>
      <c r="F2079" s="798"/>
    </row>
    <row r="2080" spans="1:6">
      <c r="A2080" s="330" t="s">
        <v>2418</v>
      </c>
      <c r="B2080" s="30">
        <v>12.65</v>
      </c>
      <c r="C2080" s="30">
        <f>200*B2080</f>
        <v>2530</v>
      </c>
      <c r="D2080" s="100" t="s">
        <v>857</v>
      </c>
    </row>
    <row r="2082" spans="1:4" ht="15" thickBot="1"/>
    <row r="2083" spans="1:4" ht="16.2" thickBot="1">
      <c r="A2083" s="745" t="s">
        <v>2420</v>
      </c>
      <c r="B2083" s="746"/>
      <c r="C2083" s="746"/>
      <c r="D2083" s="747"/>
    </row>
    <row r="2084" spans="1:4" ht="15" thickBot="1">
      <c r="A2084" s="304" t="s">
        <v>319</v>
      </c>
      <c r="B2084" s="305" t="s">
        <v>33</v>
      </c>
      <c r="C2084" s="306" t="s">
        <v>2421</v>
      </c>
      <c r="D2084" s="306" t="s">
        <v>2422</v>
      </c>
    </row>
    <row r="2085" spans="1:4">
      <c r="A2085" s="140" t="s">
        <v>322</v>
      </c>
      <c r="B2085" s="141" t="s">
        <v>323</v>
      </c>
      <c r="C2085" s="302">
        <v>6.21</v>
      </c>
      <c r="D2085" s="282">
        <v>6.2</v>
      </c>
    </row>
    <row r="2086" spans="1:4">
      <c r="A2086" s="3" t="s">
        <v>326</v>
      </c>
      <c r="B2086" s="100" t="s">
        <v>327</v>
      </c>
      <c r="C2086" s="30">
        <v>6.09</v>
      </c>
      <c r="D2086" s="115">
        <v>6.22</v>
      </c>
    </row>
    <row r="2087" spans="1:4">
      <c r="A2087" s="3" t="s">
        <v>330</v>
      </c>
      <c r="B2087" s="100" t="s">
        <v>331</v>
      </c>
      <c r="C2087" s="30">
        <v>6.1</v>
      </c>
      <c r="D2087" s="115">
        <v>6.12</v>
      </c>
    </row>
    <row r="2088" spans="1:4">
      <c r="A2088" s="3" t="s">
        <v>1542</v>
      </c>
      <c r="B2088" s="100" t="s">
        <v>1543</v>
      </c>
      <c r="C2088" s="116">
        <v>6.2</v>
      </c>
      <c r="D2088" s="30">
        <v>6.25</v>
      </c>
    </row>
    <row r="2090" spans="1:4">
      <c r="A2090" s="551" t="s">
        <v>2428</v>
      </c>
      <c r="B2090" s="530" t="s">
        <v>238</v>
      </c>
    </row>
    <row r="2091" spans="1:4">
      <c r="A2091" s="278" t="s">
        <v>2429</v>
      </c>
      <c r="B2091" s="613">
        <v>51.3</v>
      </c>
    </row>
    <row r="2092" spans="1:4">
      <c r="A2092" s="84" t="s">
        <v>2443</v>
      </c>
      <c r="B2092" s="30">
        <v>250</v>
      </c>
    </row>
    <row r="2093" spans="1:4">
      <c r="A2093" s="84" t="s">
        <v>2444</v>
      </c>
      <c r="B2093" s="30">
        <v>380</v>
      </c>
    </row>
    <row r="2094" spans="1:4">
      <c r="A2094" s="84" t="s">
        <v>2430</v>
      </c>
      <c r="B2094" s="30">
        <v>690</v>
      </c>
    </row>
    <row r="2095" spans="1:4">
      <c r="A2095" s="117"/>
    </row>
    <row r="2096" spans="1:4">
      <c r="A2096" s="84" t="s">
        <v>2431</v>
      </c>
      <c r="B2096" s="16"/>
    </row>
    <row r="2097" spans="1:6">
      <c r="A2097" s="16"/>
      <c r="B2097" s="16"/>
    </row>
    <row r="2099" spans="1:6">
      <c r="A2099" s="330" t="s">
        <v>2432</v>
      </c>
      <c r="B2099" s="530" t="s">
        <v>2433</v>
      </c>
      <c r="C2099" s="530" t="s">
        <v>2434</v>
      </c>
      <c r="D2099" s="530" t="s">
        <v>2435</v>
      </c>
      <c r="E2099" s="530" t="s">
        <v>2436</v>
      </c>
    </row>
    <row r="2100" spans="1:6">
      <c r="A2100" s="16" t="s">
        <v>2437</v>
      </c>
      <c r="B2100" s="30">
        <v>1670</v>
      </c>
      <c r="C2100" s="30">
        <v>1050</v>
      </c>
      <c r="D2100" s="30">
        <v>2395</v>
      </c>
      <c r="E2100" s="30"/>
    </row>
    <row r="2101" spans="1:6">
      <c r="A2101" s="16" t="s">
        <v>2438</v>
      </c>
      <c r="B2101" s="100" t="s">
        <v>527</v>
      </c>
      <c r="C2101" s="100" t="s">
        <v>527</v>
      </c>
      <c r="D2101" s="100" t="s">
        <v>527</v>
      </c>
      <c r="E2101" s="100"/>
    </row>
    <row r="2103" spans="1:6">
      <c r="A2103" s="551" t="s">
        <v>2439</v>
      </c>
      <c r="B2103" s="530" t="s">
        <v>1060</v>
      </c>
      <c r="C2103" s="530" t="s">
        <v>2396</v>
      </c>
      <c r="D2103" s="530" t="s">
        <v>2442</v>
      </c>
    </row>
    <row r="2104" spans="1:6">
      <c r="A2104" s="84" t="s">
        <v>2440</v>
      </c>
      <c r="B2104" s="100">
        <v>200</v>
      </c>
      <c r="C2104" s="30">
        <v>65.8</v>
      </c>
      <c r="D2104" s="30">
        <v>78</v>
      </c>
    </row>
    <row r="2105" spans="1:6">
      <c r="A2105" s="84" t="s">
        <v>2441</v>
      </c>
      <c r="B2105" s="100">
        <v>200</v>
      </c>
      <c r="C2105" s="30"/>
      <c r="D2105" s="30">
        <v>100</v>
      </c>
    </row>
    <row r="2107" spans="1:6">
      <c r="A2107" s="330" t="s">
        <v>2445</v>
      </c>
      <c r="B2107" s="530" t="s">
        <v>2446</v>
      </c>
      <c r="C2107" s="330" t="s">
        <v>2451</v>
      </c>
      <c r="D2107" s="530" t="s">
        <v>2462</v>
      </c>
      <c r="E2107" s="530" t="s">
        <v>2464</v>
      </c>
    </row>
    <row r="2108" spans="1:6">
      <c r="A2108" s="16"/>
      <c r="B2108" s="30">
        <v>15378.32</v>
      </c>
      <c r="C2108" s="30">
        <v>8360</v>
      </c>
      <c r="D2108" s="30">
        <v>8990</v>
      </c>
      <c r="E2108" s="30">
        <v>6000</v>
      </c>
    </row>
    <row r="2109" spans="1:6">
      <c r="F2109" t="s">
        <v>1074</v>
      </c>
    </row>
    <row r="2110" spans="1:6">
      <c r="A2110" s="330" t="s">
        <v>2449</v>
      </c>
      <c r="B2110" s="530" t="s">
        <v>1330</v>
      </c>
    </row>
    <row r="2111" spans="1:6">
      <c r="A2111" s="16" t="s">
        <v>2149</v>
      </c>
      <c r="B2111" s="30">
        <v>102.29</v>
      </c>
    </row>
    <row r="2112" spans="1:6">
      <c r="A2112" s="16" t="s">
        <v>2450</v>
      </c>
      <c r="B2112" s="30">
        <v>299.26</v>
      </c>
    </row>
    <row r="2113" spans="1:4">
      <c r="A2113" s="16" t="s">
        <v>2450</v>
      </c>
      <c r="B2113" s="30">
        <v>139.33000000000001</v>
      </c>
    </row>
    <row r="2114" spans="1:4">
      <c r="A2114" s="16" t="s">
        <v>2463</v>
      </c>
      <c r="B2114" s="16">
        <v>591.28</v>
      </c>
    </row>
    <row r="2115" spans="1:4">
      <c r="A2115" s="277" t="s">
        <v>238</v>
      </c>
      <c r="B2115" s="311">
        <f>B2111+B2112+B2113+B2114</f>
        <v>1132.1599999999999</v>
      </c>
    </row>
    <row r="2117" spans="1:4">
      <c r="A2117" s="330" t="s">
        <v>2457</v>
      </c>
      <c r="B2117" s="530" t="s">
        <v>941</v>
      </c>
      <c r="C2117" s="530" t="s">
        <v>2472</v>
      </c>
    </row>
    <row r="2118" spans="1:4">
      <c r="A2118" s="16" t="s">
        <v>2458</v>
      </c>
      <c r="B2118" s="16"/>
      <c r="C2118" s="16"/>
    </row>
    <row r="2119" spans="1:4">
      <c r="A2119" s="16" t="s">
        <v>2459</v>
      </c>
      <c r="B2119" s="16"/>
      <c r="C2119" s="16"/>
    </row>
    <row r="2120" spans="1:4">
      <c r="A2120" s="16" t="s">
        <v>2460</v>
      </c>
      <c r="B2120" s="16"/>
      <c r="C2120" s="16"/>
    </row>
    <row r="2122" spans="1:4">
      <c r="A2122" s="330" t="s">
        <v>2461</v>
      </c>
      <c r="B2122" s="530" t="s">
        <v>941</v>
      </c>
    </row>
    <row r="2123" spans="1:4">
      <c r="A2123" s="16"/>
      <c r="B2123" s="16"/>
    </row>
    <row r="2125" spans="1:4" ht="15" thickBot="1"/>
    <row r="2126" spans="1:4" ht="16.2" thickBot="1">
      <c r="A2126" s="745" t="s">
        <v>2447</v>
      </c>
      <c r="B2126" s="746"/>
      <c r="C2126" s="746"/>
      <c r="D2126" s="747"/>
    </row>
    <row r="2127" spans="1:4" ht="15" thickBot="1">
      <c r="A2127" s="304" t="s">
        <v>319</v>
      </c>
      <c r="B2127" s="305" t="s">
        <v>33</v>
      </c>
      <c r="C2127" s="306" t="s">
        <v>2421</v>
      </c>
      <c r="D2127" s="306" t="s">
        <v>2422</v>
      </c>
    </row>
    <row r="2128" spans="1:4">
      <c r="A2128" s="140" t="s">
        <v>322</v>
      </c>
      <c r="B2128" s="141" t="s">
        <v>323</v>
      </c>
      <c r="C2128" s="302">
        <v>6.2</v>
      </c>
      <c r="D2128" s="282">
        <v>6.15</v>
      </c>
    </row>
    <row r="2129" spans="1:5">
      <c r="A2129" s="3" t="s">
        <v>326</v>
      </c>
      <c r="B2129" s="100" t="s">
        <v>327</v>
      </c>
      <c r="C2129" s="30">
        <v>6.22</v>
      </c>
      <c r="D2129" s="115">
        <v>5.98</v>
      </c>
    </row>
    <row r="2130" spans="1:5">
      <c r="A2130" s="714" t="s">
        <v>330</v>
      </c>
      <c r="B2130" s="318" t="s">
        <v>331</v>
      </c>
      <c r="C2130" s="533">
        <v>6.12</v>
      </c>
      <c r="D2130" s="115">
        <v>6.12</v>
      </c>
      <c r="E2130" s="715" t="s">
        <v>2448</v>
      </c>
    </row>
    <row r="2131" spans="1:5">
      <c r="A2131" s="3" t="s">
        <v>1542</v>
      </c>
      <c r="B2131" s="100" t="s">
        <v>1543</v>
      </c>
      <c r="C2131" s="116">
        <v>6.25</v>
      </c>
      <c r="D2131" s="30">
        <v>6.35</v>
      </c>
    </row>
    <row r="2133" spans="1:5">
      <c r="A2133" s="551" t="s">
        <v>2452</v>
      </c>
      <c r="B2133" s="530" t="s">
        <v>2455</v>
      </c>
      <c r="C2133" s="530" t="s">
        <v>2456</v>
      </c>
    </row>
    <row r="2134" spans="1:5">
      <c r="A2134" s="278" t="s">
        <v>2453</v>
      </c>
      <c r="B2134" s="30">
        <v>205</v>
      </c>
      <c r="C2134" s="30">
        <v>600</v>
      </c>
    </row>
    <row r="2135" spans="1:5">
      <c r="A2135" s="278" t="s">
        <v>2454</v>
      </c>
      <c r="B2135" s="30">
        <v>137</v>
      </c>
      <c r="C2135" s="30">
        <v>2350</v>
      </c>
    </row>
    <row r="2137" spans="1:5">
      <c r="A2137" s="330" t="s">
        <v>2465</v>
      </c>
      <c r="B2137" s="530" t="s">
        <v>2468</v>
      </c>
      <c r="C2137" s="530" t="s">
        <v>2469</v>
      </c>
      <c r="D2137" s="530" t="s">
        <v>2471</v>
      </c>
    </row>
    <row r="2138" spans="1:5">
      <c r="A2138" s="84" t="s">
        <v>2466</v>
      </c>
      <c r="B2138" s="30">
        <v>120</v>
      </c>
      <c r="C2138" s="30">
        <v>238.4</v>
      </c>
      <c r="D2138" s="30">
        <v>240</v>
      </c>
    </row>
    <row r="2139" spans="1:5">
      <c r="A2139" s="84" t="s">
        <v>2467</v>
      </c>
      <c r="B2139" s="30">
        <v>48</v>
      </c>
      <c r="C2139" s="30">
        <v>47.6</v>
      </c>
      <c r="D2139" s="30">
        <v>60</v>
      </c>
    </row>
    <row r="2140" spans="1:5">
      <c r="A2140" s="84" t="s">
        <v>2470</v>
      </c>
      <c r="B2140" s="30">
        <v>0</v>
      </c>
      <c r="C2140" s="30">
        <v>29.7</v>
      </c>
      <c r="D2140" s="30">
        <v>0</v>
      </c>
    </row>
    <row r="2141" spans="1:5">
      <c r="A2141" s="84" t="s">
        <v>56</v>
      </c>
      <c r="B2141" s="30">
        <v>120</v>
      </c>
      <c r="C2141" s="30">
        <v>36</v>
      </c>
      <c r="D2141" s="30">
        <v>27</v>
      </c>
    </row>
    <row r="2142" spans="1:5">
      <c r="A2142" s="308" t="s">
        <v>238</v>
      </c>
      <c r="B2142" s="219">
        <f>B2138+B2139+B2140+B2141</f>
        <v>288</v>
      </c>
      <c r="C2142" s="30">
        <v>351.7</v>
      </c>
      <c r="D2142" s="30">
        <f>D2138+D2139+D2140+D2141</f>
        <v>327</v>
      </c>
    </row>
    <row r="2143" spans="1:5">
      <c r="D2143" s="116">
        <v>252</v>
      </c>
    </row>
    <row r="2145" spans="1:8">
      <c r="A2145" s="330" t="s">
        <v>2473</v>
      </c>
      <c r="B2145" s="530" t="s">
        <v>757</v>
      </c>
      <c r="C2145" s="530" t="s">
        <v>1330</v>
      </c>
      <c r="D2145" s="530" t="s">
        <v>2249</v>
      </c>
    </row>
    <row r="2146" spans="1:8">
      <c r="A2146" s="84" t="s">
        <v>2474</v>
      </c>
      <c r="B2146" s="30">
        <v>5620</v>
      </c>
      <c r="C2146" s="30">
        <v>2467.69</v>
      </c>
      <c r="D2146" s="30">
        <v>1152.8699999999999</v>
      </c>
    </row>
    <row r="2147" spans="1:8">
      <c r="A2147" s="84" t="s">
        <v>2475</v>
      </c>
      <c r="B2147" s="30">
        <v>1800</v>
      </c>
      <c r="C2147" s="30">
        <v>7863.54</v>
      </c>
      <c r="D2147" s="30">
        <v>1022.2</v>
      </c>
    </row>
    <row r="2148" spans="1:8">
      <c r="A2148" s="308" t="s">
        <v>238</v>
      </c>
      <c r="B2148" s="219">
        <f>B2146+B2147</f>
        <v>7420</v>
      </c>
      <c r="C2148" s="219">
        <f>C2146+C2147</f>
        <v>10331.23</v>
      </c>
      <c r="D2148" s="219">
        <f>D2146+D2147</f>
        <v>2175.0699999999997</v>
      </c>
    </row>
    <row r="2150" spans="1:8">
      <c r="A2150" s="218" t="s">
        <v>2476</v>
      </c>
      <c r="B2150" s="101" t="s">
        <v>528</v>
      </c>
      <c r="C2150" s="101" t="s">
        <v>2455</v>
      </c>
    </row>
    <row r="2151" spans="1:8">
      <c r="A2151" s="84" t="s">
        <v>2538</v>
      </c>
      <c r="B2151" s="30">
        <v>260</v>
      </c>
      <c r="C2151" s="30">
        <v>330</v>
      </c>
      <c r="E2151" s="117"/>
      <c r="G2151" s="118"/>
      <c r="H2151" s="118"/>
    </row>
    <row r="2152" spans="1:8">
      <c r="A2152" s="84" t="s">
        <v>2525</v>
      </c>
      <c r="B2152" s="30">
        <v>260</v>
      </c>
      <c r="C2152" s="30">
        <v>275</v>
      </c>
      <c r="E2152" s="117"/>
      <c r="G2152" s="118"/>
      <c r="H2152" s="118"/>
    </row>
    <row r="2153" spans="1:8">
      <c r="A2153" s="84" t="s">
        <v>2526</v>
      </c>
      <c r="B2153" s="30">
        <v>360</v>
      </c>
      <c r="C2153" s="30">
        <v>138</v>
      </c>
      <c r="E2153" s="117"/>
      <c r="G2153" s="118"/>
      <c r="H2153" s="118"/>
    </row>
    <row r="2154" spans="1:8">
      <c r="A2154" s="84" t="s">
        <v>2524</v>
      </c>
      <c r="B2154" s="30">
        <v>35</v>
      </c>
      <c r="C2154" s="30">
        <v>0</v>
      </c>
      <c r="E2154" s="117"/>
      <c r="G2154" s="118"/>
      <c r="H2154" s="118"/>
    </row>
    <row r="2155" spans="1:8">
      <c r="A2155" s="278" t="s">
        <v>2527</v>
      </c>
      <c r="B2155" s="30">
        <v>63</v>
      </c>
      <c r="C2155" s="16"/>
      <c r="E2155" s="286"/>
      <c r="G2155" s="118"/>
    </row>
    <row r="2156" spans="1:8">
      <c r="A2156" s="278" t="s">
        <v>2531</v>
      </c>
      <c r="B2156" s="30">
        <v>100</v>
      </c>
      <c r="C2156" s="16"/>
      <c r="E2156" s="286"/>
      <c r="G2156" s="118"/>
    </row>
    <row r="2157" spans="1:8">
      <c r="A2157" s="278" t="s">
        <v>2532</v>
      </c>
      <c r="B2157" s="30">
        <v>280</v>
      </c>
      <c r="C2157" s="16"/>
      <c r="E2157" s="286"/>
      <c r="G2157" s="118"/>
    </row>
    <row r="2158" spans="1:8">
      <c r="A2158" s="278" t="s">
        <v>2533</v>
      </c>
      <c r="B2158" s="30">
        <v>360</v>
      </c>
      <c r="C2158" s="16"/>
      <c r="E2158" s="286"/>
      <c r="G2158" s="118"/>
    </row>
    <row r="2159" spans="1:8">
      <c r="A2159" s="278" t="s">
        <v>2528</v>
      </c>
      <c r="B2159" s="30">
        <v>40</v>
      </c>
      <c r="C2159" s="16"/>
      <c r="E2159" s="286"/>
      <c r="G2159" s="118"/>
    </row>
    <row r="2160" spans="1:8">
      <c r="A2160" s="84" t="s">
        <v>2529</v>
      </c>
      <c r="B2160" s="30">
        <v>22</v>
      </c>
      <c r="C2160" s="30">
        <v>10</v>
      </c>
      <c r="E2160" s="117"/>
      <c r="G2160" s="118"/>
      <c r="H2160" s="118"/>
    </row>
    <row r="2161" spans="1:7">
      <c r="A2161" s="278" t="s">
        <v>2530</v>
      </c>
      <c r="B2161" s="30">
        <v>120</v>
      </c>
      <c r="C2161" s="16"/>
      <c r="E2161" s="286"/>
      <c r="G2161" s="118"/>
    </row>
    <row r="2162" spans="1:7">
      <c r="A2162" s="278" t="s">
        <v>2534</v>
      </c>
      <c r="B2162" s="30">
        <v>290</v>
      </c>
      <c r="C2162" s="16"/>
      <c r="E2162" s="286"/>
      <c r="G2162" s="118"/>
    </row>
    <row r="2163" spans="1:7">
      <c r="A2163" s="278" t="s">
        <v>2535</v>
      </c>
      <c r="B2163" s="30">
        <v>260</v>
      </c>
      <c r="C2163" s="16"/>
      <c r="E2163" s="286"/>
      <c r="G2163" s="118"/>
    </row>
    <row r="2164" spans="1:7">
      <c r="A2164" s="278" t="s">
        <v>2536</v>
      </c>
      <c r="B2164" s="30">
        <v>310</v>
      </c>
      <c r="C2164" s="16"/>
      <c r="E2164" s="286"/>
      <c r="G2164" s="118"/>
    </row>
    <row r="2165" spans="1:7">
      <c r="A2165" s="278" t="s">
        <v>2537</v>
      </c>
      <c r="B2165" s="30">
        <v>310</v>
      </c>
      <c r="C2165" s="16"/>
      <c r="E2165" s="286"/>
      <c r="G2165" s="118"/>
    </row>
    <row r="2166" spans="1:7">
      <c r="A2166" s="277" t="s">
        <v>238</v>
      </c>
      <c r="B2166" s="30">
        <f>SUM(B2151:B2165)</f>
        <v>3070</v>
      </c>
      <c r="C2166" s="30">
        <f>SUM(C2151:C2165)</f>
        <v>753</v>
      </c>
      <c r="E2166" s="286"/>
      <c r="G2166" s="118"/>
    </row>
    <row r="2167" spans="1:7">
      <c r="A2167" s="721"/>
      <c r="B2167" s="49"/>
      <c r="E2167" s="286"/>
      <c r="G2167" s="118"/>
    </row>
    <row r="2168" spans="1:7">
      <c r="A2168" s="330" t="s">
        <v>2477</v>
      </c>
      <c r="B2168" s="584" t="s">
        <v>55</v>
      </c>
      <c r="G2168" s="215"/>
    </row>
    <row r="2169" spans="1:7">
      <c r="A2169" s="84" t="s">
        <v>2478</v>
      </c>
      <c r="B2169" s="30">
        <v>750</v>
      </c>
    </row>
    <row r="2170" spans="1:7">
      <c r="A2170" s="84" t="s">
        <v>2479</v>
      </c>
      <c r="B2170" s="30">
        <v>1200</v>
      </c>
    </row>
    <row r="2171" spans="1:7">
      <c r="A2171" s="84" t="s">
        <v>2480</v>
      </c>
      <c r="B2171" s="30">
        <v>1100</v>
      </c>
    </row>
    <row r="2172" spans="1:7">
      <c r="A2172" s="84" t="s">
        <v>2481</v>
      </c>
      <c r="B2172" s="30">
        <v>800</v>
      </c>
    </row>
    <row r="2174" spans="1:7">
      <c r="A2174" s="330" t="s">
        <v>2482</v>
      </c>
      <c r="B2174" s="530" t="s">
        <v>179</v>
      </c>
    </row>
    <row r="2175" spans="1:7">
      <c r="A2175" s="84" t="s">
        <v>2490</v>
      </c>
      <c r="B2175" s="30">
        <v>375</v>
      </c>
      <c r="D2175" s="215">
        <f t="shared" ref="D2175:D2180" si="31">4*B2175</f>
        <v>1500</v>
      </c>
    </row>
    <row r="2176" spans="1:7">
      <c r="A2176" s="84" t="s">
        <v>2491</v>
      </c>
      <c r="B2176" s="30">
        <v>388</v>
      </c>
      <c r="D2176" s="215">
        <f t="shared" si="31"/>
        <v>1552</v>
      </c>
    </row>
    <row r="2177" spans="1:5">
      <c r="A2177" s="673" t="s">
        <v>2492</v>
      </c>
      <c r="B2177" s="30">
        <v>318.07</v>
      </c>
      <c r="C2177" s="907" t="s">
        <v>697</v>
      </c>
      <c r="D2177" s="215">
        <f t="shared" si="31"/>
        <v>1272.28</v>
      </c>
    </row>
    <row r="2178" spans="1:5">
      <c r="A2178" s="673" t="s">
        <v>2493</v>
      </c>
      <c r="B2178" s="30">
        <v>317.52999999999997</v>
      </c>
      <c r="C2178" s="907"/>
      <c r="D2178" s="215">
        <f t="shared" si="31"/>
        <v>1270.1199999999999</v>
      </c>
    </row>
    <row r="2179" spans="1:5">
      <c r="A2179" s="673" t="s">
        <v>2494</v>
      </c>
      <c r="B2179" s="30">
        <v>399.88</v>
      </c>
      <c r="C2179" s="907"/>
      <c r="D2179" s="215">
        <f t="shared" si="31"/>
        <v>1599.52</v>
      </c>
    </row>
    <row r="2180" spans="1:5">
      <c r="A2180" s="673" t="s">
        <v>2495</v>
      </c>
      <c r="B2180" s="30">
        <v>412.38</v>
      </c>
      <c r="C2180" s="907"/>
      <c r="D2180" s="215">
        <f t="shared" si="31"/>
        <v>1649.52</v>
      </c>
    </row>
    <row r="2182" spans="1:5">
      <c r="A2182" s="330" t="s">
        <v>2483</v>
      </c>
      <c r="B2182" s="530" t="s">
        <v>2270</v>
      </c>
    </row>
    <row r="2183" spans="1:5">
      <c r="A2183" s="16" t="s">
        <v>2484</v>
      </c>
      <c r="B2183" s="30">
        <v>150</v>
      </c>
    </row>
    <row r="2184" spans="1:5">
      <c r="A2184" s="16" t="s">
        <v>2485</v>
      </c>
      <c r="B2184" s="30">
        <v>180</v>
      </c>
    </row>
    <row r="2187" spans="1:5">
      <c r="A2187" s="330" t="s">
        <v>2486</v>
      </c>
      <c r="B2187" s="530" t="s">
        <v>2239</v>
      </c>
      <c r="C2187" s="530" t="s">
        <v>421</v>
      </c>
      <c r="D2187" s="530" t="s">
        <v>303</v>
      </c>
      <c r="E2187" s="530" t="s">
        <v>295</v>
      </c>
    </row>
    <row r="2188" spans="1:5">
      <c r="A2188" s="16" t="s">
        <v>2487</v>
      </c>
      <c r="B2188" s="30">
        <v>106.37</v>
      </c>
      <c r="C2188" s="30">
        <v>40.9</v>
      </c>
      <c r="D2188" s="30">
        <v>90</v>
      </c>
      <c r="E2188" s="30">
        <v>66</v>
      </c>
    </row>
    <row r="2189" spans="1:5">
      <c r="A2189" s="717" t="s">
        <v>2496</v>
      </c>
      <c r="B2189" s="3" t="s">
        <v>527</v>
      </c>
      <c r="C2189" s="3" t="s">
        <v>527</v>
      </c>
      <c r="D2189" s="3" t="s">
        <v>527</v>
      </c>
      <c r="E2189" s="3" t="s">
        <v>527</v>
      </c>
    </row>
    <row r="2190" spans="1:5">
      <c r="A2190" s="16" t="s">
        <v>2488</v>
      </c>
      <c r="B2190" s="30">
        <v>0</v>
      </c>
      <c r="C2190" s="30">
        <v>693</v>
      </c>
      <c r="D2190" s="30">
        <v>360</v>
      </c>
      <c r="E2190" s="30">
        <v>315</v>
      </c>
    </row>
    <row r="2191" spans="1:5">
      <c r="A2191" s="16" t="s">
        <v>2489</v>
      </c>
      <c r="B2191" s="30">
        <v>177</v>
      </c>
      <c r="C2191" s="30">
        <v>218</v>
      </c>
      <c r="D2191" s="30">
        <v>196</v>
      </c>
      <c r="E2191" s="30">
        <v>136</v>
      </c>
    </row>
    <row r="2192" spans="1:5">
      <c r="A2192" s="716" t="s">
        <v>238</v>
      </c>
      <c r="B2192" s="315">
        <f t="shared" ref="B2192:C2192" si="32">B2188+B2190+B2191</f>
        <v>283.37</v>
      </c>
      <c r="C2192" s="315">
        <f t="shared" si="32"/>
        <v>951.9</v>
      </c>
      <c r="D2192" s="315">
        <f>D2188+D2190+D2191</f>
        <v>646</v>
      </c>
      <c r="E2192" s="315">
        <f>E2188+E2190+E2191</f>
        <v>517</v>
      </c>
    </row>
    <row r="2194" spans="1:2">
      <c r="A2194" s="330" t="s">
        <v>2497</v>
      </c>
      <c r="B2194" s="330" t="s">
        <v>2501</v>
      </c>
    </row>
    <row r="2195" spans="1:2">
      <c r="A2195" s="84" t="s">
        <v>2523</v>
      </c>
      <c r="B2195" s="30">
        <v>391</v>
      </c>
    </row>
    <row r="2197" spans="1:2">
      <c r="A2197" s="330" t="s">
        <v>2498</v>
      </c>
    </row>
    <row r="2198" spans="1:2">
      <c r="A2198" s="117"/>
    </row>
    <row r="2200" spans="1:2">
      <c r="A2200" s="330" t="s">
        <v>2499</v>
      </c>
      <c r="B2200" s="530" t="s">
        <v>1377</v>
      </c>
    </row>
    <row r="2201" spans="1:2">
      <c r="A2201" s="117"/>
    </row>
    <row r="2203" spans="1:2">
      <c r="A2203" s="330" t="s">
        <v>2500</v>
      </c>
    </row>
    <row r="2204" spans="1:2">
      <c r="A2204" s="192"/>
    </row>
    <row r="2206" spans="1:2">
      <c r="A2206" s="551" t="s">
        <v>2502</v>
      </c>
      <c r="B2206" s="530" t="s">
        <v>1377</v>
      </c>
    </row>
    <row r="2207" spans="1:2">
      <c r="A2207" s="16"/>
      <c r="B2207" s="30">
        <v>173</v>
      </c>
    </row>
    <row r="2209" spans="1:6">
      <c r="A2209" s="330" t="s">
        <v>2503</v>
      </c>
      <c r="B2209" s="530" t="s">
        <v>2504</v>
      </c>
      <c r="C2209" s="530" t="s">
        <v>2505</v>
      </c>
      <c r="D2209" s="530" t="s">
        <v>2507</v>
      </c>
      <c r="E2209" s="530" t="s">
        <v>1204</v>
      </c>
    </row>
    <row r="2210" spans="1:6">
      <c r="A2210" s="330" t="s">
        <v>2506</v>
      </c>
      <c r="B2210" s="30">
        <v>1170</v>
      </c>
      <c r="C2210" s="30">
        <v>778.23</v>
      </c>
      <c r="D2210" s="30">
        <f>9*85</f>
        <v>765</v>
      </c>
      <c r="E2210" s="30">
        <v>796.05</v>
      </c>
    </row>
    <row r="2212" spans="1:6">
      <c r="A2212" s="218" t="s">
        <v>2508</v>
      </c>
      <c r="B2212" s="584" t="s">
        <v>1428</v>
      </c>
    </row>
    <row r="2213" spans="1:6">
      <c r="A2213" s="218" t="s">
        <v>2511</v>
      </c>
      <c r="B2213" s="30">
        <f>4*30.45</f>
        <v>121.8</v>
      </c>
    </row>
    <row r="2214" spans="1:6">
      <c r="A2214" s="218" t="s">
        <v>2149</v>
      </c>
      <c r="B2214" s="30">
        <v>11.39</v>
      </c>
    </row>
    <row r="2216" spans="1:6">
      <c r="A2216" s="218" t="s">
        <v>2509</v>
      </c>
      <c r="B2216" s="584" t="s">
        <v>1428</v>
      </c>
      <c r="C2216" s="584" t="s">
        <v>1593</v>
      </c>
    </row>
    <row r="2217" spans="1:6">
      <c r="A2217" s="218" t="s">
        <v>2512</v>
      </c>
      <c r="B2217" s="30"/>
      <c r="C2217" s="30">
        <v>55.64</v>
      </c>
    </row>
    <row r="2218" spans="1:6">
      <c r="A2218" s="218" t="s">
        <v>1327</v>
      </c>
      <c r="B2218" s="30"/>
      <c r="C2218" s="30">
        <v>79.2</v>
      </c>
    </row>
    <row r="2219" spans="1:6">
      <c r="A2219" s="218" t="s">
        <v>2510</v>
      </c>
      <c r="B2219" s="30">
        <v>41.82</v>
      </c>
      <c r="C2219" s="30">
        <v>45.12</v>
      </c>
    </row>
    <row r="2221" spans="1:6">
      <c r="A2221" s="218" t="s">
        <v>2513</v>
      </c>
      <c r="B2221" s="101" t="s">
        <v>1933</v>
      </c>
      <c r="C2221" s="101" t="s">
        <v>2412</v>
      </c>
      <c r="D2221" s="101" t="s">
        <v>878</v>
      </c>
    </row>
    <row r="2222" spans="1:6">
      <c r="A2222" s="218" t="s">
        <v>2514</v>
      </c>
      <c r="B2222" s="100">
        <v>1</v>
      </c>
      <c r="C2222" s="30"/>
      <c r="D2222" s="30">
        <v>169</v>
      </c>
    </row>
    <row r="2223" spans="1:6">
      <c r="A2223" s="896" t="s">
        <v>2354</v>
      </c>
      <c r="B2223" s="896"/>
      <c r="C2223" s="90"/>
      <c r="D2223" s="90"/>
    </row>
    <row r="2224" spans="1:6">
      <c r="A2224" s="218" t="s">
        <v>2515</v>
      </c>
      <c r="B2224" s="100">
        <v>3</v>
      </c>
      <c r="C2224" s="30"/>
      <c r="D2224" s="30">
        <f>59*3</f>
        <v>177</v>
      </c>
      <c r="F2224">
        <f>236/4</f>
        <v>59</v>
      </c>
    </row>
    <row r="2225" spans="1:6">
      <c r="A2225" s="218" t="s">
        <v>2279</v>
      </c>
      <c r="B2225" s="100">
        <v>2</v>
      </c>
      <c r="C2225" s="30"/>
      <c r="D2225" s="30">
        <v>150</v>
      </c>
    </row>
    <row r="2226" spans="1:6">
      <c r="C2226" s="49">
        <v>595</v>
      </c>
      <c r="D2226" s="215">
        <f>D2222+D2224+D2225</f>
        <v>496</v>
      </c>
    </row>
    <row r="2227" spans="1:6">
      <c r="C2227" s="49"/>
    </row>
    <row r="2228" spans="1:6">
      <c r="A2228" s="218" t="s">
        <v>2516</v>
      </c>
      <c r="B2228" s="101" t="s">
        <v>1933</v>
      </c>
      <c r="C2228" s="101" t="s">
        <v>295</v>
      </c>
      <c r="D2228" s="101" t="s">
        <v>303</v>
      </c>
      <c r="E2228" s="101" t="s">
        <v>2239</v>
      </c>
      <c r="F2228" s="101" t="s">
        <v>421</v>
      </c>
    </row>
    <row r="2229" spans="1:6">
      <c r="A2229" s="218" t="s">
        <v>2521</v>
      </c>
      <c r="B2229" s="100">
        <v>1</v>
      </c>
      <c r="C2229" s="30">
        <v>75</v>
      </c>
      <c r="D2229" s="30">
        <v>99</v>
      </c>
      <c r="E2229" s="30"/>
      <c r="F2229" s="30">
        <v>108</v>
      </c>
    </row>
    <row r="2230" spans="1:6">
      <c r="A2230" s="218" t="s">
        <v>2522</v>
      </c>
      <c r="B2230" s="100">
        <v>2</v>
      </c>
      <c r="C2230" s="30">
        <v>501</v>
      </c>
      <c r="D2230" s="30">
        <v>599</v>
      </c>
      <c r="E2230" s="30"/>
      <c r="F2230" s="30">
        <v>734.8</v>
      </c>
    </row>
    <row r="2232" spans="1:6">
      <c r="A2232" s="218" t="s">
        <v>2519</v>
      </c>
      <c r="B2232" s="101" t="s">
        <v>1933</v>
      </c>
      <c r="C2232" s="530" t="s">
        <v>2520</v>
      </c>
      <c r="D2232" s="530" t="s">
        <v>1371</v>
      </c>
      <c r="E2232" s="215"/>
    </row>
    <row r="2233" spans="1:6">
      <c r="A2233" s="218" t="s">
        <v>490</v>
      </c>
      <c r="B2233" s="100">
        <v>5</v>
      </c>
      <c r="C2233" s="30">
        <v>459.34</v>
      </c>
      <c r="D2233" s="30">
        <v>2296.6999999999998</v>
      </c>
    </row>
    <row r="2234" spans="1:6" ht="15" thickBot="1"/>
    <row r="2235" spans="1:6" ht="16.2" thickBot="1">
      <c r="A2235" s="718" t="s">
        <v>2517</v>
      </c>
      <c r="B2235" s="719"/>
      <c r="C2235" s="719"/>
      <c r="D2235" s="720"/>
    </row>
    <row r="2236" spans="1:6" ht="15" thickBot="1">
      <c r="A2236" s="304" t="s">
        <v>319</v>
      </c>
      <c r="B2236" s="305" t="s">
        <v>33</v>
      </c>
      <c r="C2236" s="306" t="s">
        <v>2421</v>
      </c>
      <c r="D2236" s="306" t="s">
        <v>2422</v>
      </c>
    </row>
    <row r="2237" spans="1:6">
      <c r="A2237" s="140" t="s">
        <v>322</v>
      </c>
      <c r="B2237" s="141" t="s">
        <v>323</v>
      </c>
      <c r="C2237" s="302">
        <v>6.15</v>
      </c>
      <c r="D2237" s="282">
        <v>6.14</v>
      </c>
    </row>
    <row r="2238" spans="1:6">
      <c r="A2238" s="3" t="s">
        <v>326</v>
      </c>
      <c r="B2238" s="100" t="s">
        <v>327</v>
      </c>
      <c r="C2238" s="30">
        <v>5.98</v>
      </c>
      <c r="D2238" s="115">
        <v>6.17</v>
      </c>
    </row>
    <row r="2239" spans="1:6">
      <c r="A2239" s="670" t="s">
        <v>330</v>
      </c>
      <c r="B2239" s="652" t="s">
        <v>331</v>
      </c>
      <c r="C2239" s="645">
        <v>6.12</v>
      </c>
      <c r="D2239" s="115">
        <v>6.12</v>
      </c>
      <c r="E2239" t="s">
        <v>2518</v>
      </c>
    </row>
    <row r="2240" spans="1:6">
      <c r="A2240" s="3" t="s">
        <v>1542</v>
      </c>
      <c r="B2240" s="100" t="s">
        <v>1543</v>
      </c>
      <c r="C2240" s="116">
        <v>6.35</v>
      </c>
      <c r="D2240" s="30">
        <v>6.1</v>
      </c>
    </row>
    <row r="2242" spans="1:3">
      <c r="A2242" s="604" t="s">
        <v>2539</v>
      </c>
      <c r="B2242" s="530" t="s">
        <v>528</v>
      </c>
      <c r="C2242" s="530" t="s">
        <v>2542</v>
      </c>
    </row>
    <row r="2243" spans="1:3">
      <c r="A2243" s="84" t="s">
        <v>2540</v>
      </c>
      <c r="B2243" s="30">
        <v>420</v>
      </c>
      <c r="C2243" s="30">
        <v>366</v>
      </c>
    </row>
    <row r="2244" spans="1:3">
      <c r="A2244" s="84" t="s">
        <v>2541</v>
      </c>
      <c r="B2244" s="16"/>
      <c r="C2244" s="16"/>
    </row>
    <row r="2246" spans="1:3">
      <c r="A2246" s="412" t="s">
        <v>2543</v>
      </c>
      <c r="B2246" s="413" t="s">
        <v>55</v>
      </c>
    </row>
    <row r="2247" spans="1:3">
      <c r="A2247" s="84" t="s">
        <v>2556</v>
      </c>
      <c r="B2247" s="489">
        <v>769.96</v>
      </c>
    </row>
    <row r="2248" spans="1:3">
      <c r="A2248" s="84" t="s">
        <v>2557</v>
      </c>
      <c r="B2248" s="30">
        <v>726.55</v>
      </c>
    </row>
    <row r="2249" spans="1:3">
      <c r="A2249" s="84" t="s">
        <v>2558</v>
      </c>
      <c r="B2249" s="30">
        <v>870</v>
      </c>
    </row>
    <row r="2250" spans="1:3">
      <c r="A2250" s="84" t="s">
        <v>2559</v>
      </c>
      <c r="B2250" s="116">
        <v>949.9</v>
      </c>
    </row>
    <row r="2251" spans="1:3">
      <c r="A2251" s="117"/>
      <c r="B2251" s="48"/>
    </row>
    <row r="2253" spans="1:3">
      <c r="A2253" s="412" t="s">
        <v>2544</v>
      </c>
      <c r="B2253" s="413" t="s">
        <v>55</v>
      </c>
    </row>
    <row r="2254" spans="1:3">
      <c r="A2254" s="84" t="s">
        <v>2553</v>
      </c>
      <c r="B2254" s="30">
        <v>3099</v>
      </c>
    </row>
    <row r="2255" spans="1:3">
      <c r="A2255" s="723" t="s">
        <v>2554</v>
      </c>
      <c r="B2255" s="30">
        <v>3414.61</v>
      </c>
    </row>
    <row r="2256" spans="1:3">
      <c r="A2256" s="84" t="s">
        <v>2555</v>
      </c>
      <c r="B2256" s="30">
        <v>3379</v>
      </c>
    </row>
    <row r="2258" spans="1:3">
      <c r="A2258" s="412" t="s">
        <v>2560</v>
      </c>
      <c r="B2258" s="413" t="s">
        <v>1377</v>
      </c>
    </row>
    <row r="2259" spans="1:3">
      <c r="A2259" s="722" t="s">
        <v>2552</v>
      </c>
      <c r="B2259" s="30">
        <v>272.27</v>
      </c>
    </row>
    <row r="2261" spans="1:3">
      <c r="A2261" s="412" t="s">
        <v>2545</v>
      </c>
      <c r="B2261" s="412" t="s">
        <v>2546</v>
      </c>
      <c r="C2261" s="412" t="s">
        <v>2547</v>
      </c>
    </row>
    <row r="2262" spans="1:3">
      <c r="A2262" s="16"/>
      <c r="B2262" s="30">
        <v>20520.599999999999</v>
      </c>
      <c r="C2262" s="16"/>
    </row>
    <row r="2264" spans="1:3">
      <c r="A2264" s="412" t="s">
        <v>2548</v>
      </c>
      <c r="B2264" s="413" t="s">
        <v>161</v>
      </c>
    </row>
    <row r="2265" spans="1:3">
      <c r="A2265" s="16" t="s">
        <v>2549</v>
      </c>
      <c r="B2265" s="16"/>
    </row>
    <row r="2267" spans="1:3">
      <c r="A2267" s="412" t="s">
        <v>2550</v>
      </c>
      <c r="B2267" s="694"/>
    </row>
    <row r="2268" spans="1:3">
      <c r="A2268" s="16" t="s">
        <v>2551</v>
      </c>
      <c r="B2268" s="16"/>
    </row>
    <row r="2270" spans="1:3">
      <c r="A2270" s="330" t="s">
        <v>2561</v>
      </c>
      <c r="B2270" s="530" t="s">
        <v>1933</v>
      </c>
      <c r="C2270" s="530" t="s">
        <v>1428</v>
      </c>
    </row>
    <row r="2271" spans="1:3">
      <c r="A2271" s="16" t="s">
        <v>2562</v>
      </c>
      <c r="B2271" s="100">
        <v>1</v>
      </c>
      <c r="C2271" s="30">
        <v>35.590000000000003</v>
      </c>
    </row>
    <row r="2272" spans="1:3">
      <c r="A2272" s="16" t="s">
        <v>2563</v>
      </c>
      <c r="B2272" s="100">
        <v>1</v>
      </c>
      <c r="C2272" s="30">
        <v>16.649999999999999</v>
      </c>
    </row>
    <row r="2273" spans="1:3" ht="13.2" customHeight="1">
      <c r="A2273" s="16" t="s">
        <v>2564</v>
      </c>
      <c r="B2273" s="100">
        <v>4</v>
      </c>
      <c r="C2273" s="30">
        <f>4*45.62</f>
        <v>182.48</v>
      </c>
    </row>
    <row r="2274" spans="1:3" ht="13.2" customHeight="1">
      <c r="A2274" s="795" t="s">
        <v>238</v>
      </c>
      <c r="B2274" s="795"/>
      <c r="C2274" s="30">
        <f>SUM(C2271:C2273)</f>
        <v>234.72</v>
      </c>
    </row>
    <row r="2276" spans="1:3">
      <c r="A2276" s="330" t="s">
        <v>2565</v>
      </c>
      <c r="B2276" s="530" t="s">
        <v>519</v>
      </c>
    </row>
    <row r="2277" spans="1:3">
      <c r="A2277" s="16" t="s">
        <v>2566</v>
      </c>
      <c r="B2277" s="30">
        <v>470</v>
      </c>
    </row>
    <row r="2279" spans="1:3">
      <c r="A2279" s="330" t="s">
        <v>2570</v>
      </c>
      <c r="B2279" s="530" t="s">
        <v>2573</v>
      </c>
      <c r="C2279" s="530" t="s">
        <v>790</v>
      </c>
    </row>
    <row r="2280" spans="1:3">
      <c r="A2280" s="16" t="s">
        <v>2567</v>
      </c>
      <c r="B2280" s="16"/>
      <c r="C2280" s="16"/>
    </row>
    <row r="2281" spans="1:3">
      <c r="A2281" s="16" t="s">
        <v>2568</v>
      </c>
      <c r="B2281" s="16"/>
      <c r="C2281" s="16"/>
    </row>
    <row r="2282" spans="1:3">
      <c r="A2282" s="16" t="s">
        <v>2569</v>
      </c>
      <c r="B2282" s="16"/>
      <c r="C2282" s="16"/>
    </row>
    <row r="2284" spans="1:3">
      <c r="A2284" s="330" t="s">
        <v>2571</v>
      </c>
      <c r="B2284" s="530" t="s">
        <v>2574</v>
      </c>
    </row>
    <row r="2285" spans="1:3">
      <c r="A2285" s="16" t="s">
        <v>2572</v>
      </c>
      <c r="B2285" s="30">
        <v>256</v>
      </c>
    </row>
    <row r="2286" spans="1:3">
      <c r="A2286" s="16" t="s">
        <v>2579</v>
      </c>
      <c r="B2286" s="30">
        <v>19.2</v>
      </c>
    </row>
    <row r="2288" spans="1:3">
      <c r="A2288" s="330" t="s">
        <v>2586</v>
      </c>
      <c r="B2288" s="530" t="s">
        <v>884</v>
      </c>
    </row>
    <row r="2289" spans="1:6">
      <c r="A2289" s="16" t="s">
        <v>2575</v>
      </c>
      <c r="B2289" s="30">
        <v>152.87</v>
      </c>
    </row>
    <row r="2291" spans="1:6">
      <c r="A2291" s="330" t="s">
        <v>2576</v>
      </c>
      <c r="B2291" s="530" t="s">
        <v>1933</v>
      </c>
      <c r="C2291" s="530" t="s">
        <v>295</v>
      </c>
      <c r="D2291" s="530" t="s">
        <v>303</v>
      </c>
      <c r="E2291" s="530" t="s">
        <v>2239</v>
      </c>
      <c r="F2291" s="530" t="s">
        <v>421</v>
      </c>
    </row>
    <row r="2292" spans="1:6">
      <c r="A2292" s="16" t="s">
        <v>2577</v>
      </c>
      <c r="B2292" s="100">
        <v>2</v>
      </c>
      <c r="C2292" s="30">
        <v>156</v>
      </c>
      <c r="D2292" s="30">
        <f>110*2</f>
        <v>220</v>
      </c>
      <c r="E2292" s="30">
        <v>0</v>
      </c>
      <c r="F2292" s="30">
        <f>2*100.75</f>
        <v>201.5</v>
      </c>
    </row>
    <row r="2293" spans="1:6">
      <c r="A2293" s="16" t="s">
        <v>299</v>
      </c>
      <c r="B2293" s="100">
        <v>1</v>
      </c>
      <c r="C2293" s="30">
        <v>181</v>
      </c>
      <c r="D2293" s="30">
        <v>246</v>
      </c>
      <c r="E2293" s="30">
        <v>252.98</v>
      </c>
      <c r="F2293" s="30">
        <v>209.9</v>
      </c>
    </row>
    <row r="2294" spans="1:6">
      <c r="A2294" s="16" t="s">
        <v>2578</v>
      </c>
      <c r="B2294" s="100">
        <v>1</v>
      </c>
      <c r="C2294" s="30">
        <v>133</v>
      </c>
      <c r="D2294" s="30">
        <v>280</v>
      </c>
      <c r="E2294" s="30">
        <v>188.08</v>
      </c>
      <c r="F2294" s="30">
        <v>252</v>
      </c>
    </row>
    <row r="2295" spans="1:6">
      <c r="A2295" s="898" t="s">
        <v>238</v>
      </c>
      <c r="B2295" s="898"/>
      <c r="C2295" s="616">
        <f>SUM(C2292:C2294)</f>
        <v>470</v>
      </c>
      <c r="D2295" s="219">
        <f>SUM(D2292:D2294)</f>
        <v>746</v>
      </c>
      <c r="E2295" s="219">
        <f t="shared" ref="E2295:F2295" si="33">SUM(E2292:E2294)</f>
        <v>441.06</v>
      </c>
      <c r="F2295" s="219">
        <f t="shared" si="33"/>
        <v>663.4</v>
      </c>
    </row>
    <row r="2297" spans="1:6">
      <c r="A2297" s="330" t="s">
        <v>2580</v>
      </c>
      <c r="B2297" s="530" t="s">
        <v>2582</v>
      </c>
      <c r="C2297" s="530" t="s">
        <v>2583</v>
      </c>
    </row>
    <row r="2298" spans="1:6">
      <c r="A2298" s="16" t="s">
        <v>2581</v>
      </c>
      <c r="B2298" s="30">
        <v>15500</v>
      </c>
      <c r="C2298" s="30">
        <v>5500</v>
      </c>
    </row>
    <row r="2299" spans="1:6">
      <c r="A2299" s="16" t="s">
        <v>2584</v>
      </c>
      <c r="B2299" s="30">
        <v>17000</v>
      </c>
      <c r="C2299" s="100" t="s">
        <v>527</v>
      </c>
    </row>
    <row r="2300" spans="1:6">
      <c r="A2300" s="16" t="s">
        <v>2585</v>
      </c>
      <c r="B2300" s="115" t="s">
        <v>527</v>
      </c>
      <c r="C2300" s="30">
        <v>33000</v>
      </c>
    </row>
    <row r="2301" spans="1:6" ht="15" thickBot="1"/>
    <row r="2302" spans="1:6">
      <c r="A2302" s="917" t="s">
        <v>2587</v>
      </c>
      <c r="B2302" s="918"/>
      <c r="C2302" s="918"/>
      <c r="D2302" s="918"/>
      <c r="E2302" s="918"/>
      <c r="F2302" s="919"/>
    </row>
    <row r="2303" spans="1:6" ht="15" thickBot="1">
      <c r="A2303" s="920"/>
      <c r="B2303" s="921"/>
      <c r="C2303" s="921"/>
      <c r="D2303" s="921"/>
      <c r="E2303" s="921"/>
      <c r="F2303" s="922"/>
    </row>
    <row r="2305" spans="1:5">
      <c r="A2305" s="330" t="s">
        <v>2588</v>
      </c>
      <c r="B2305" t="s">
        <v>421</v>
      </c>
    </row>
    <row r="2307" spans="1:5" ht="15" thickBot="1"/>
    <row r="2308" spans="1:5" ht="16.2" thickBot="1">
      <c r="A2308" s="718" t="s">
        <v>2589</v>
      </c>
      <c r="B2308" s="719"/>
      <c r="C2308" s="719"/>
      <c r="D2308" s="720"/>
    </row>
    <row r="2309" spans="1:5" ht="15" thickBot="1">
      <c r="A2309" s="304" t="s">
        <v>319</v>
      </c>
      <c r="B2309" s="305" t="s">
        <v>33</v>
      </c>
      <c r="C2309" s="306" t="s">
        <v>2590</v>
      </c>
      <c r="D2309" s="306" t="s">
        <v>2591</v>
      </c>
    </row>
    <row r="2310" spans="1:5">
      <c r="A2310" s="140" t="s">
        <v>322</v>
      </c>
      <c r="B2310" s="141" t="s">
        <v>323</v>
      </c>
      <c r="C2310" s="302">
        <v>6.14</v>
      </c>
      <c r="D2310" s="282">
        <v>6.15</v>
      </c>
    </row>
    <row r="2311" spans="1:5">
      <c r="A2311" s="3" t="s">
        <v>326</v>
      </c>
      <c r="B2311" s="100" t="s">
        <v>327</v>
      </c>
      <c r="C2311" s="30">
        <v>6.17</v>
      </c>
      <c r="D2311" s="115">
        <v>6.13</v>
      </c>
    </row>
    <row r="2312" spans="1:5">
      <c r="A2312" s="670" t="s">
        <v>330</v>
      </c>
      <c r="B2312" s="652" t="s">
        <v>331</v>
      </c>
      <c r="C2312" s="645">
        <v>6.12</v>
      </c>
      <c r="D2312" s="115">
        <v>6.1</v>
      </c>
    </row>
    <row r="2313" spans="1:5">
      <c r="A2313" s="3" t="s">
        <v>1542</v>
      </c>
      <c r="B2313" s="100" t="s">
        <v>1543</v>
      </c>
      <c r="C2313" s="116">
        <v>6.1</v>
      </c>
      <c r="D2313" s="30">
        <v>6.15</v>
      </c>
      <c r="E2313" t="s">
        <v>2518</v>
      </c>
    </row>
    <row r="2315" spans="1:5">
      <c r="A2315" s="604" t="s">
        <v>2592</v>
      </c>
      <c r="B2315" s="530" t="s">
        <v>881</v>
      </c>
    </row>
    <row r="2316" spans="1:5">
      <c r="A2316" s="16" t="s">
        <v>2593</v>
      </c>
      <c r="B2316" s="30">
        <v>290</v>
      </c>
    </row>
    <row r="2318" spans="1:5">
      <c r="A2318" s="330" t="s">
        <v>2594</v>
      </c>
      <c r="B2318" s="530" t="s">
        <v>516</v>
      </c>
    </row>
    <row r="2319" spans="1:5">
      <c r="A2319" s="16" t="s">
        <v>2595</v>
      </c>
      <c r="B2319" s="16"/>
    </row>
    <row r="2321" spans="1:7">
      <c r="A2321" s="330" t="s">
        <v>2597</v>
      </c>
      <c r="B2321" s="530" t="s">
        <v>2598</v>
      </c>
      <c r="C2321" s="530" t="s">
        <v>2599</v>
      </c>
      <c r="D2321" s="530" t="s">
        <v>2600</v>
      </c>
    </row>
    <row r="2322" spans="1:7">
      <c r="A2322" s="16" t="s">
        <v>2601</v>
      </c>
      <c r="B2322" s="30">
        <v>6440</v>
      </c>
      <c r="C2322" s="30">
        <v>3431.32</v>
      </c>
      <c r="D2322" s="30">
        <v>4022.93</v>
      </c>
    </row>
    <row r="2324" spans="1:7">
      <c r="A2324" s="330" t="s">
        <v>2602</v>
      </c>
      <c r="B2324" s="530" t="s">
        <v>1826</v>
      </c>
      <c r="C2324" s="530" t="s">
        <v>2388</v>
      </c>
      <c r="D2324" s="530" t="s">
        <v>2606</v>
      </c>
    </row>
    <row r="2325" spans="1:7">
      <c r="A2325" s="84" t="s">
        <v>2603</v>
      </c>
      <c r="B2325" s="30">
        <v>800</v>
      </c>
      <c r="C2325" s="30">
        <v>248.07</v>
      </c>
      <c r="D2325" s="16">
        <v>243.94</v>
      </c>
    </row>
    <row r="2327" spans="1:7">
      <c r="A2327" t="s">
        <v>2604</v>
      </c>
    </row>
    <row r="2328" spans="1:7">
      <c r="A2328" s="330" t="s">
        <v>2605</v>
      </c>
      <c r="B2328" s="530" t="s">
        <v>411</v>
      </c>
      <c r="C2328" s="585" t="s">
        <v>2611</v>
      </c>
      <c r="D2328" s="530" t="s">
        <v>1024</v>
      </c>
      <c r="E2328" s="530" t="s">
        <v>2617</v>
      </c>
    </row>
    <row r="2329" spans="1:7">
      <c r="A2329" s="16" t="s">
        <v>490</v>
      </c>
      <c r="B2329" s="100" t="s">
        <v>2610</v>
      </c>
      <c r="C2329" s="726">
        <f>40*39.79</f>
        <v>1591.6</v>
      </c>
      <c r="D2329" s="727">
        <v>1780</v>
      </c>
      <c r="E2329" s="703">
        <v>914.46</v>
      </c>
    </row>
    <row r="2330" spans="1:7">
      <c r="A2330" s="16" t="s">
        <v>2607</v>
      </c>
      <c r="B2330" s="100" t="s">
        <v>2609</v>
      </c>
      <c r="C2330" s="728">
        <v>368.52</v>
      </c>
      <c r="D2330" s="727">
        <v>258</v>
      </c>
      <c r="E2330" s="115" t="s">
        <v>527</v>
      </c>
      <c r="G2330" s="215"/>
    </row>
    <row r="2331" spans="1:7">
      <c r="A2331" s="16" t="s">
        <v>2608</v>
      </c>
      <c r="B2331" s="100" t="s">
        <v>2610</v>
      </c>
      <c r="C2331" s="726">
        <v>2429.6</v>
      </c>
      <c r="D2331" s="727">
        <v>1580</v>
      </c>
      <c r="E2331" s="703">
        <v>1449.3</v>
      </c>
    </row>
    <row r="2332" spans="1:7">
      <c r="A2332" s="724"/>
      <c r="B2332" s="724"/>
      <c r="C2332" s="215"/>
      <c r="D2332" s="215"/>
    </row>
    <row r="2333" spans="1:7">
      <c r="A2333" s="725" t="s">
        <v>2615</v>
      </c>
      <c r="B2333" s="530" t="s">
        <v>411</v>
      </c>
      <c r="C2333" s="530" t="s">
        <v>2612</v>
      </c>
      <c r="D2333" s="530" t="s">
        <v>1692</v>
      </c>
      <c r="E2333" s="530" t="s">
        <v>2613</v>
      </c>
      <c r="F2333" s="530" t="s">
        <v>2600</v>
      </c>
    </row>
    <row r="2334" spans="1:7">
      <c r="A2334" s="16" t="s">
        <v>2614</v>
      </c>
      <c r="B2334" s="100">
        <v>4</v>
      </c>
      <c r="C2334" s="30">
        <v>4780</v>
      </c>
      <c r="D2334" s="30">
        <v>3431.32</v>
      </c>
      <c r="E2334" s="30">
        <v>6440</v>
      </c>
      <c r="F2334" s="30">
        <v>4022.93</v>
      </c>
    </row>
    <row r="2335" spans="1:7">
      <c r="B2335" s="1"/>
      <c r="C2335" s="118"/>
      <c r="D2335" s="118"/>
      <c r="E2335" s="118"/>
      <c r="F2335" s="118"/>
    </row>
    <row r="2336" spans="1:7">
      <c r="A2336" s="330" t="s">
        <v>2765</v>
      </c>
      <c r="B2336" s="530" t="s">
        <v>2270</v>
      </c>
      <c r="C2336" s="743" t="s">
        <v>2774</v>
      </c>
      <c r="D2336" s="118"/>
      <c r="E2336" s="118"/>
      <c r="F2336" s="118"/>
    </row>
    <row r="2337" spans="1:6">
      <c r="A2337" s="16" t="s">
        <v>2775</v>
      </c>
      <c r="B2337" s="115">
        <v>439.9</v>
      </c>
      <c r="C2337" s="30">
        <f>4*B2337</f>
        <v>1759.6</v>
      </c>
      <c r="D2337" s="118"/>
      <c r="E2337" s="118"/>
      <c r="F2337" s="118"/>
    </row>
    <row r="2338" spans="1:6">
      <c r="A2338" s="16" t="s">
        <v>2776</v>
      </c>
      <c r="B2338" s="115">
        <v>459</v>
      </c>
      <c r="C2338" s="30">
        <f t="shared" ref="C2338:C2342" si="34">4*B2338</f>
        <v>1836</v>
      </c>
      <c r="D2338" s="118"/>
      <c r="E2338" s="118"/>
      <c r="F2338" s="118"/>
    </row>
    <row r="2339" spans="1:6">
      <c r="A2339" s="16" t="s">
        <v>2778</v>
      </c>
      <c r="B2339" s="115">
        <v>1087.5</v>
      </c>
      <c r="C2339" s="30">
        <f t="shared" si="34"/>
        <v>4350</v>
      </c>
      <c r="D2339" s="118"/>
      <c r="E2339" s="118"/>
      <c r="F2339" s="118"/>
    </row>
    <row r="2340" spans="1:6">
      <c r="A2340" s="16" t="s">
        <v>2777</v>
      </c>
      <c r="B2340" s="115">
        <v>1400</v>
      </c>
      <c r="C2340" s="30">
        <f t="shared" si="34"/>
        <v>5600</v>
      </c>
      <c r="D2340" s="118"/>
      <c r="E2340" s="118"/>
      <c r="F2340" s="118"/>
    </row>
    <row r="2341" spans="1:6">
      <c r="A2341" s="16" t="s">
        <v>2780</v>
      </c>
      <c r="B2341" s="115">
        <v>1480</v>
      </c>
      <c r="C2341" s="30">
        <v>5890</v>
      </c>
      <c r="D2341" s="118"/>
      <c r="E2341" s="118"/>
      <c r="F2341" s="118"/>
    </row>
    <row r="2342" spans="1:6">
      <c r="A2342" s="16" t="s">
        <v>2779</v>
      </c>
      <c r="B2342" s="115">
        <v>1100</v>
      </c>
      <c r="C2342" s="30">
        <f t="shared" si="34"/>
        <v>4400</v>
      </c>
      <c r="D2342" s="118"/>
      <c r="E2342" s="118"/>
      <c r="F2342" s="118"/>
    </row>
    <row r="2344" spans="1:6">
      <c r="A2344" s="725" t="s">
        <v>2616</v>
      </c>
      <c r="B2344" s="530" t="s">
        <v>411</v>
      </c>
    </row>
    <row r="2345" spans="1:6">
      <c r="A2345" s="16" t="s">
        <v>2614</v>
      </c>
      <c r="B2345" s="100">
        <v>4</v>
      </c>
    </row>
    <row r="2347" spans="1:6">
      <c r="A2347" s="725" t="s">
        <v>2618</v>
      </c>
      <c r="B2347" s="530" t="s">
        <v>411</v>
      </c>
    </row>
    <row r="2348" spans="1:6">
      <c r="A2348" s="16" t="s">
        <v>2614</v>
      </c>
      <c r="B2348" s="100">
        <v>4</v>
      </c>
    </row>
    <row r="2350" spans="1:6">
      <c r="A2350" s="330" t="s">
        <v>2619</v>
      </c>
      <c r="B2350" s="530" t="s">
        <v>1933</v>
      </c>
      <c r="C2350" s="530" t="s">
        <v>295</v>
      </c>
    </row>
    <row r="2351" spans="1:6">
      <c r="A2351" s="16" t="s">
        <v>2620</v>
      </c>
      <c r="B2351" s="100">
        <v>2</v>
      </c>
      <c r="C2351" s="30">
        <v>150</v>
      </c>
    </row>
    <row r="2352" spans="1:6">
      <c r="A2352" s="16" t="s">
        <v>2621</v>
      </c>
      <c r="B2352" s="100">
        <v>1</v>
      </c>
      <c r="C2352" s="30">
        <v>268</v>
      </c>
    </row>
    <row r="2353" spans="1:3">
      <c r="C2353" s="729">
        <f>SUM(C2351:C2352)</f>
        <v>418</v>
      </c>
    </row>
    <row r="2355" spans="1:3">
      <c r="A2355" s="330" t="s">
        <v>2622</v>
      </c>
      <c r="B2355" s="530" t="s">
        <v>2623</v>
      </c>
    </row>
    <row r="2356" spans="1:3">
      <c r="A2356" s="16" t="s">
        <v>2624</v>
      </c>
      <c r="B2356" s="30">
        <v>4044</v>
      </c>
    </row>
    <row r="2357" spans="1:3">
      <c r="A2357" s="16" t="s">
        <v>2627</v>
      </c>
      <c r="B2357" s="30">
        <v>3920</v>
      </c>
    </row>
    <row r="2358" spans="1:3">
      <c r="A2358" s="16" t="s">
        <v>2625</v>
      </c>
      <c r="B2358" s="30">
        <v>4075</v>
      </c>
    </row>
    <row r="2359" spans="1:3">
      <c r="A2359" s="16" t="s">
        <v>2626</v>
      </c>
      <c r="B2359" s="30">
        <v>4000</v>
      </c>
    </row>
    <row r="2361" spans="1:3">
      <c r="A2361" s="84" t="s">
        <v>2628</v>
      </c>
      <c r="B2361" s="16"/>
    </row>
    <row r="2362" spans="1:3">
      <c r="A2362" s="16" t="s">
        <v>2629</v>
      </c>
      <c r="B2362" s="30">
        <v>180</v>
      </c>
    </row>
    <row r="2363" spans="1:3">
      <c r="A2363" s="16" t="s">
        <v>2637</v>
      </c>
      <c r="B2363" s="30">
        <v>280</v>
      </c>
    </row>
    <row r="2364" spans="1:3">
      <c r="A2364" s="16" t="s">
        <v>2630</v>
      </c>
      <c r="B2364" s="30">
        <v>125</v>
      </c>
    </row>
    <row r="2365" spans="1:3">
      <c r="A2365" s="16" t="s">
        <v>2631</v>
      </c>
      <c r="B2365" s="30">
        <f>4*45</f>
        <v>180</v>
      </c>
    </row>
    <row r="2366" spans="1:3">
      <c r="A2366" s="16" t="s">
        <v>2632</v>
      </c>
      <c r="B2366" s="30">
        <v>260</v>
      </c>
    </row>
    <row r="2367" spans="1:3">
      <c r="A2367" s="16" t="s">
        <v>2633</v>
      </c>
      <c r="B2367" s="30">
        <v>75</v>
      </c>
    </row>
    <row r="2368" spans="1:3">
      <c r="A2368" s="16" t="s">
        <v>2635</v>
      </c>
      <c r="B2368" s="30">
        <v>260</v>
      </c>
    </row>
    <row r="2369" spans="1:5">
      <c r="A2369" s="16" t="s">
        <v>2638</v>
      </c>
      <c r="B2369" s="30">
        <v>190</v>
      </c>
    </row>
    <row r="2370" spans="1:5">
      <c r="A2370" s="16" t="s">
        <v>2634</v>
      </c>
      <c r="B2370" s="30">
        <v>28</v>
      </c>
    </row>
    <row r="2371" spans="1:5">
      <c r="A2371" s="16" t="s">
        <v>2636</v>
      </c>
      <c r="B2371" s="30">
        <v>170</v>
      </c>
    </row>
    <row r="2372" spans="1:5">
      <c r="B2372" s="219">
        <f>SUM(B2362:B2371)</f>
        <v>1748</v>
      </c>
    </row>
    <row r="2374" spans="1:5">
      <c r="A2374" s="330" t="s">
        <v>2639</v>
      </c>
      <c r="B2374" s="530" t="s">
        <v>2433</v>
      </c>
      <c r="C2374" s="530" t="s">
        <v>2435</v>
      </c>
      <c r="D2374" s="530" t="s">
        <v>2668</v>
      </c>
      <c r="E2374" s="530" t="s">
        <v>2660</v>
      </c>
    </row>
    <row r="2375" spans="1:5">
      <c r="A2375" s="84" t="s">
        <v>2640</v>
      </c>
      <c r="B2375" s="30">
        <v>460</v>
      </c>
      <c r="C2375" s="16"/>
      <c r="D2375" s="30">
        <v>420</v>
      </c>
      <c r="E2375" s="30">
        <v>518</v>
      </c>
    </row>
    <row r="2377" spans="1:5">
      <c r="A2377" s="330" t="s">
        <v>2641</v>
      </c>
      <c r="B2377" s="530" t="s">
        <v>1933</v>
      </c>
      <c r="C2377" s="530" t="s">
        <v>238</v>
      </c>
      <c r="D2377" s="530" t="s">
        <v>2309</v>
      </c>
    </row>
    <row r="2378" spans="1:5">
      <c r="A2378" s="16" t="s">
        <v>2642</v>
      </c>
      <c r="B2378" s="100">
        <v>6</v>
      </c>
      <c r="C2378" s="30">
        <v>1566</v>
      </c>
      <c r="D2378" s="30">
        <v>902.76</v>
      </c>
      <c r="E2378" s="215"/>
    </row>
    <row r="2379" spans="1:5">
      <c r="A2379" s="16" t="s">
        <v>2643</v>
      </c>
      <c r="B2379" s="100">
        <v>11</v>
      </c>
      <c r="C2379" s="30">
        <v>295.89999999999998</v>
      </c>
      <c r="D2379" s="30">
        <v>281.05</v>
      </c>
    </row>
    <row r="2380" spans="1:5">
      <c r="A2380" s="16" t="s">
        <v>2644</v>
      </c>
      <c r="B2380" s="100" t="s">
        <v>2645</v>
      </c>
      <c r="C2380" s="30">
        <v>32.700000000000003</v>
      </c>
      <c r="D2380" s="30">
        <v>38.700000000000003</v>
      </c>
    </row>
    <row r="2381" spans="1:5">
      <c r="A2381" s="915" t="s">
        <v>56</v>
      </c>
      <c r="B2381" s="916"/>
      <c r="C2381" s="30">
        <v>0</v>
      </c>
      <c r="D2381" s="30">
        <v>250</v>
      </c>
    </row>
    <row r="2382" spans="1:5">
      <c r="A2382" s="898" t="s">
        <v>238</v>
      </c>
      <c r="B2382" s="898"/>
      <c r="C2382" s="30">
        <f>SUM(C2378:C2381)</f>
        <v>1894.6000000000001</v>
      </c>
      <c r="D2382" s="30">
        <f>SUM(D2378:D2381)</f>
        <v>1472.51</v>
      </c>
    </row>
    <row r="2383" spans="1:5" ht="15" thickBot="1"/>
    <row r="2384" spans="1:5" ht="16.2" thickBot="1">
      <c r="A2384" s="718" t="s">
        <v>2646</v>
      </c>
      <c r="B2384" s="719"/>
      <c r="C2384" s="719"/>
      <c r="D2384" s="720"/>
    </row>
    <row r="2385" spans="1:5" ht="15" thickBot="1">
      <c r="A2385" s="304" t="s">
        <v>319</v>
      </c>
      <c r="B2385" s="305" t="s">
        <v>33</v>
      </c>
      <c r="C2385" s="306" t="s">
        <v>2590</v>
      </c>
      <c r="D2385" s="306" t="s">
        <v>2759</v>
      </c>
    </row>
    <row r="2386" spans="1:5">
      <c r="A2386" s="140" t="s">
        <v>322</v>
      </c>
      <c r="B2386" s="141" t="s">
        <v>323</v>
      </c>
      <c r="C2386" s="302">
        <v>6.15</v>
      </c>
      <c r="D2386" s="282">
        <v>6.1</v>
      </c>
    </row>
    <row r="2387" spans="1:5">
      <c r="A2387" s="3" t="s">
        <v>326</v>
      </c>
      <c r="B2387" s="100" t="s">
        <v>327</v>
      </c>
      <c r="C2387" s="30">
        <v>6.13</v>
      </c>
      <c r="D2387" s="115">
        <v>6.1</v>
      </c>
    </row>
    <row r="2388" spans="1:5">
      <c r="A2388" s="670" t="s">
        <v>330</v>
      </c>
      <c r="B2388" s="652" t="s">
        <v>331</v>
      </c>
      <c r="C2388" s="645">
        <v>6.1</v>
      </c>
      <c r="D2388" s="115" t="s">
        <v>527</v>
      </c>
    </row>
    <row r="2389" spans="1:5">
      <c r="A2389" s="3" t="s">
        <v>1542</v>
      </c>
      <c r="B2389" s="100" t="s">
        <v>1543</v>
      </c>
      <c r="C2389" s="116">
        <v>6.15</v>
      </c>
      <c r="D2389" s="30">
        <v>6.1</v>
      </c>
    </row>
    <row r="2391" spans="1:5">
      <c r="A2391" s="530" t="s">
        <v>2647</v>
      </c>
      <c r="B2391" s="530" t="s">
        <v>1933</v>
      </c>
      <c r="C2391" s="530" t="s">
        <v>161</v>
      </c>
      <c r="D2391" s="530" t="s">
        <v>1631</v>
      </c>
      <c r="E2391" s="530" t="s">
        <v>1332</v>
      </c>
    </row>
    <row r="2392" spans="1:5">
      <c r="A2392" s="278" t="s">
        <v>2648</v>
      </c>
      <c r="B2392" s="100" t="s">
        <v>2649</v>
      </c>
      <c r="C2392" s="49">
        <v>307.63</v>
      </c>
      <c r="D2392" s="30">
        <f>309.78+37.98</f>
        <v>347.76</v>
      </c>
      <c r="E2392" s="30"/>
    </row>
    <row r="2393" spans="1:5">
      <c r="A2393" s="278" t="s">
        <v>2650</v>
      </c>
      <c r="B2393" s="100">
        <v>1</v>
      </c>
      <c r="C2393" s="115" t="s">
        <v>527</v>
      </c>
      <c r="D2393" s="30">
        <v>1.0900000000000001</v>
      </c>
      <c r="E2393" s="30"/>
    </row>
    <row r="2394" spans="1:5">
      <c r="A2394" s="278" t="s">
        <v>2651</v>
      </c>
      <c r="B2394" s="100">
        <v>2</v>
      </c>
      <c r="C2394" s="115" t="s">
        <v>527</v>
      </c>
      <c r="D2394" s="30">
        <v>2.58</v>
      </c>
      <c r="E2394" s="30"/>
    </row>
    <row r="2395" spans="1:5">
      <c r="A2395" s="278" t="s">
        <v>2652</v>
      </c>
      <c r="B2395" s="100">
        <v>1</v>
      </c>
      <c r="C2395" s="115" t="s">
        <v>527</v>
      </c>
      <c r="D2395" s="30">
        <v>21.99</v>
      </c>
      <c r="E2395" s="30"/>
    </row>
    <row r="2396" spans="1:5">
      <c r="A2396" s="278" t="s">
        <v>2653</v>
      </c>
      <c r="B2396" s="100">
        <v>6</v>
      </c>
      <c r="C2396" s="115" t="s">
        <v>527</v>
      </c>
      <c r="D2396" s="30">
        <v>29.94</v>
      </c>
      <c r="E2396" s="30"/>
    </row>
    <row r="2397" spans="1:5">
      <c r="A2397" s="278" t="s">
        <v>2654</v>
      </c>
      <c r="B2397" s="100">
        <v>1</v>
      </c>
      <c r="C2397" s="115" t="s">
        <v>527</v>
      </c>
      <c r="D2397" s="30">
        <v>9.99</v>
      </c>
      <c r="E2397" s="30"/>
    </row>
    <row r="2398" spans="1:5">
      <c r="A2398" s="278" t="s">
        <v>2661</v>
      </c>
      <c r="B2398" s="100">
        <v>15</v>
      </c>
      <c r="C2398" s="115" t="s">
        <v>527</v>
      </c>
      <c r="D2398" s="30">
        <f>5.4+11.7+31.95</f>
        <v>49.05</v>
      </c>
      <c r="E2398" s="30"/>
    </row>
    <row r="2399" spans="1:5">
      <c r="A2399" s="278" t="s">
        <v>2655</v>
      </c>
      <c r="B2399" s="100">
        <v>1</v>
      </c>
      <c r="C2399" s="30">
        <v>475.3</v>
      </c>
      <c r="D2399" s="30">
        <v>469.99</v>
      </c>
      <c r="E2399" s="30"/>
    </row>
    <row r="2400" spans="1:5">
      <c r="A2400" s="278" t="s">
        <v>2656</v>
      </c>
      <c r="B2400" s="100" t="s">
        <v>2657</v>
      </c>
      <c r="C2400" s="30">
        <v>176.11</v>
      </c>
      <c r="D2400" s="30">
        <f>94.02+75.96</f>
        <v>169.98</v>
      </c>
      <c r="E2400" s="30"/>
    </row>
    <row r="2401" spans="1:5">
      <c r="A2401" s="278" t="s">
        <v>2658</v>
      </c>
      <c r="B2401" s="100">
        <v>1</v>
      </c>
      <c r="C2401" s="115" t="s">
        <v>527</v>
      </c>
      <c r="D2401" s="30">
        <v>7.29</v>
      </c>
      <c r="E2401" s="30"/>
    </row>
    <row r="2402" spans="1:5">
      <c r="A2402" s="278" t="s">
        <v>2659</v>
      </c>
      <c r="B2402" s="100">
        <v>1</v>
      </c>
      <c r="C2402" s="30">
        <v>53.2</v>
      </c>
      <c r="D2402" s="30">
        <v>21.99</v>
      </c>
      <c r="E2402" s="30"/>
    </row>
    <row r="2403" spans="1:5">
      <c r="A2403" s="898" t="s">
        <v>238</v>
      </c>
      <c r="B2403" s="898"/>
      <c r="C2403" s="30">
        <f>C2392+C2399+C2400+C2402</f>
        <v>1012.2400000000001</v>
      </c>
      <c r="D2403" s="30">
        <f>SUM(D2392:D2402)</f>
        <v>1131.6499999999999</v>
      </c>
      <c r="E2403" s="30"/>
    </row>
    <row r="2405" spans="1:5">
      <c r="A2405" s="551" t="s">
        <v>2662</v>
      </c>
      <c r="B2405" s="551" t="s">
        <v>2664</v>
      </c>
      <c r="C2405" s="551" t="s">
        <v>2665</v>
      </c>
      <c r="D2405" s="530" t="s">
        <v>110</v>
      </c>
    </row>
    <row r="2406" spans="1:5">
      <c r="A2406" s="551" t="s">
        <v>2666</v>
      </c>
      <c r="B2406" s="30">
        <v>0</v>
      </c>
      <c r="C2406" s="30">
        <v>59.9</v>
      </c>
      <c r="D2406" s="790" t="s">
        <v>2663</v>
      </c>
    </row>
    <row r="2407" spans="1:5">
      <c r="A2407" s="551" t="s">
        <v>2667</v>
      </c>
      <c r="B2407" s="30">
        <v>680</v>
      </c>
      <c r="C2407" s="30">
        <v>160</v>
      </c>
      <c r="D2407" s="790"/>
    </row>
    <row r="2408" spans="1:5">
      <c r="A2408" s="621"/>
    </row>
    <row r="2409" spans="1:5">
      <c r="A2409" s="330" t="s">
        <v>2580</v>
      </c>
      <c r="B2409" s="530" t="s">
        <v>2582</v>
      </c>
      <c r="C2409" s="530" t="s">
        <v>2583</v>
      </c>
    </row>
    <row r="2410" spans="1:5">
      <c r="A2410" s="16" t="s">
        <v>2581</v>
      </c>
      <c r="B2410" s="30">
        <v>15500</v>
      </c>
      <c r="C2410" s="30">
        <v>5500</v>
      </c>
    </row>
    <row r="2411" spans="1:5">
      <c r="A2411" s="16" t="s">
        <v>2584</v>
      </c>
      <c r="B2411" s="30">
        <v>17000</v>
      </c>
      <c r="C2411" s="100" t="s">
        <v>527</v>
      </c>
    </row>
    <row r="2412" spans="1:5">
      <c r="A2412" s="16" t="s">
        <v>2585</v>
      </c>
      <c r="B2412" s="115" t="s">
        <v>527</v>
      </c>
      <c r="C2412" s="30">
        <v>33000</v>
      </c>
    </row>
    <row r="2413" spans="1:5">
      <c r="A2413" s="16" t="s">
        <v>2669</v>
      </c>
      <c r="B2413" s="750">
        <v>17730.169999999998</v>
      </c>
      <c r="C2413" s="751"/>
    </row>
    <row r="2414" spans="1:5">
      <c r="A2414" s="16" t="s">
        <v>2670</v>
      </c>
      <c r="B2414" s="730">
        <v>15000</v>
      </c>
      <c r="C2414" s="115"/>
    </row>
    <row r="2415" spans="1:5">
      <c r="A2415" s="16" t="s">
        <v>2671</v>
      </c>
      <c r="B2415" s="731">
        <v>16500</v>
      </c>
      <c r="C2415" s="115"/>
    </row>
    <row r="2417" spans="1:4">
      <c r="A2417" s="330" t="s">
        <v>2757</v>
      </c>
      <c r="B2417" s="530" t="s">
        <v>2677</v>
      </c>
      <c r="C2417" s="530" t="s">
        <v>2749</v>
      </c>
    </row>
    <row r="2418" spans="1:4">
      <c r="A2418" s="16" t="s">
        <v>2672</v>
      </c>
      <c r="B2418" s="30">
        <v>1770</v>
      </c>
      <c r="C2418" s="219">
        <f>2*B2418</f>
        <v>3540</v>
      </c>
    </row>
    <row r="2419" spans="1:4">
      <c r="A2419" s="16" t="s">
        <v>2673</v>
      </c>
      <c r="B2419" s="30">
        <v>1910</v>
      </c>
      <c r="C2419" s="219">
        <f t="shared" ref="C2419:C2425" si="35">2*B2419</f>
        <v>3820</v>
      </c>
    </row>
    <row r="2420" spans="1:4">
      <c r="A2420" s="16" t="s">
        <v>2674</v>
      </c>
      <c r="B2420" s="30">
        <v>2580</v>
      </c>
      <c r="C2420" s="219">
        <f t="shared" si="35"/>
        <v>5160</v>
      </c>
    </row>
    <row r="2421" spans="1:4">
      <c r="A2421" s="732" t="s">
        <v>2675</v>
      </c>
      <c r="B2421" s="30">
        <v>2881</v>
      </c>
      <c r="C2421" s="219">
        <f t="shared" si="35"/>
        <v>5762</v>
      </c>
    </row>
    <row r="2422" spans="1:4">
      <c r="A2422" s="16" t="s">
        <v>2678</v>
      </c>
      <c r="B2422" s="116">
        <v>2140</v>
      </c>
      <c r="C2422" s="219">
        <f t="shared" si="35"/>
        <v>4280</v>
      </c>
    </row>
    <row r="2423" spans="1:4">
      <c r="A2423" s="16" t="s">
        <v>2679</v>
      </c>
      <c r="B2423" s="116">
        <v>1600</v>
      </c>
      <c r="C2423" s="219">
        <f t="shared" si="35"/>
        <v>3200</v>
      </c>
    </row>
    <row r="2424" spans="1:4">
      <c r="A2424" s="16" t="s">
        <v>2680</v>
      </c>
      <c r="B2424" s="116">
        <v>2699</v>
      </c>
      <c r="C2424" s="219">
        <f t="shared" si="35"/>
        <v>5398</v>
      </c>
    </row>
    <row r="2425" spans="1:4">
      <c r="A2425" s="16" t="s">
        <v>2752</v>
      </c>
      <c r="B2425" s="116">
        <v>1515</v>
      </c>
      <c r="C2425" s="219">
        <f t="shared" si="35"/>
        <v>3030</v>
      </c>
      <c r="D2425" s="14"/>
    </row>
    <row r="2428" spans="1:4">
      <c r="A2428" s="525" t="s">
        <v>2676</v>
      </c>
      <c r="B2428" s="354" t="s">
        <v>1060</v>
      </c>
      <c r="C2428" s="354" t="s">
        <v>2750</v>
      </c>
      <c r="D2428" s="354" t="s">
        <v>2751</v>
      </c>
    </row>
    <row r="2429" spans="1:4">
      <c r="A2429" s="3" t="s">
        <v>1158</v>
      </c>
      <c r="B2429" s="3">
        <v>4</v>
      </c>
      <c r="C2429" s="30">
        <v>274.52</v>
      </c>
      <c r="D2429" s="30">
        <v>247.07</v>
      </c>
    </row>
    <row r="2430" spans="1:4">
      <c r="A2430" s="3" t="s">
        <v>1159</v>
      </c>
      <c r="B2430" s="3">
        <v>4</v>
      </c>
      <c r="C2430" s="30">
        <v>250.4</v>
      </c>
      <c r="D2430" s="30">
        <v>225.36</v>
      </c>
    </row>
    <row r="2431" spans="1:4">
      <c r="A2431" s="3" t="s">
        <v>1160</v>
      </c>
      <c r="B2431" s="3">
        <v>4</v>
      </c>
      <c r="C2431" s="30">
        <v>341.88</v>
      </c>
      <c r="D2431" s="30">
        <v>307.69</v>
      </c>
    </row>
    <row r="2432" spans="1:4">
      <c r="A2432" s="3" t="s">
        <v>1161</v>
      </c>
      <c r="B2432" s="3">
        <v>2</v>
      </c>
      <c r="C2432" s="30">
        <v>1032.04</v>
      </c>
      <c r="D2432" s="30">
        <v>928.84</v>
      </c>
    </row>
    <row r="2433" spans="1:5">
      <c r="A2433" s="399" t="s">
        <v>1970</v>
      </c>
      <c r="B2433" s="713">
        <v>2</v>
      </c>
      <c r="C2433" s="30">
        <v>800</v>
      </c>
      <c r="D2433" s="30">
        <v>867.89</v>
      </c>
      <c r="E2433" s="72" t="s">
        <v>2748</v>
      </c>
    </row>
    <row r="2434" spans="1:5">
      <c r="A2434" s="748" t="s">
        <v>238</v>
      </c>
      <c r="B2434" s="749"/>
      <c r="C2434" s="30">
        <f>SUM(C2429:C2433)</f>
        <v>2698.84</v>
      </c>
      <c r="D2434" s="30">
        <f>SUM(D2429:D2433)</f>
        <v>2576.85</v>
      </c>
      <c r="E2434" s="215">
        <f>D2434-C2434</f>
        <v>-121.99000000000024</v>
      </c>
    </row>
    <row r="2437" spans="1:5">
      <c r="A2437" s="604" t="s">
        <v>2681</v>
      </c>
      <c r="B2437" s="530" t="s">
        <v>2687</v>
      </c>
      <c r="C2437" s="530" t="s">
        <v>2688</v>
      </c>
      <c r="D2437" s="530" t="s">
        <v>2748</v>
      </c>
    </row>
    <row r="2438" spans="1:5">
      <c r="A2438" s="16" t="s">
        <v>2682</v>
      </c>
      <c r="B2438" s="30">
        <v>4590.55</v>
      </c>
      <c r="C2438" s="489">
        <v>4742.25</v>
      </c>
      <c r="D2438" s="219">
        <f>C2438-B2438</f>
        <v>151.69999999999982</v>
      </c>
    </row>
    <row r="2440" spans="1:5">
      <c r="A2440" s="330" t="s">
        <v>2683</v>
      </c>
      <c r="B2440" s="3"/>
      <c r="C2440" s="3" t="s">
        <v>2690</v>
      </c>
      <c r="D2440" s="3" t="s">
        <v>2733</v>
      </c>
    </row>
    <row r="2441" spans="1:5">
      <c r="A2441" s="16" t="s">
        <v>2734</v>
      </c>
      <c r="B2441" s="16" t="s">
        <v>2734</v>
      </c>
      <c r="C2441" s="30">
        <v>90</v>
      </c>
      <c r="D2441" s="30">
        <v>75</v>
      </c>
    </row>
    <row r="2442" spans="1:5">
      <c r="A2442" s="16" t="s">
        <v>2684</v>
      </c>
      <c r="B2442" s="16" t="s">
        <v>2684</v>
      </c>
      <c r="C2442" s="30">
        <v>60</v>
      </c>
      <c r="D2442" s="30">
        <v>55</v>
      </c>
    </row>
    <row r="2443" spans="1:5">
      <c r="A2443" s="16" t="s">
        <v>2686</v>
      </c>
      <c r="B2443" s="16" t="s">
        <v>2686</v>
      </c>
      <c r="C2443" s="30">
        <v>75</v>
      </c>
      <c r="D2443" s="30">
        <v>80</v>
      </c>
    </row>
    <row r="2444" spans="1:5">
      <c r="A2444" s="16" t="s">
        <v>2685</v>
      </c>
      <c r="B2444" s="16" t="s">
        <v>2685</v>
      </c>
      <c r="C2444" s="30">
        <v>85</v>
      </c>
      <c r="D2444" s="30">
        <v>80</v>
      </c>
    </row>
    <row r="2445" spans="1:5">
      <c r="A2445" s="16" t="s">
        <v>2691</v>
      </c>
      <c r="B2445" s="16" t="s">
        <v>2691</v>
      </c>
      <c r="C2445" s="30">
        <v>75</v>
      </c>
      <c r="D2445" s="30">
        <v>80</v>
      </c>
    </row>
    <row r="2447" spans="1:5" ht="15.6">
      <c r="A2447" s="734" t="s">
        <v>2689</v>
      </c>
      <c r="B2447" s="735" t="s">
        <v>1060</v>
      </c>
      <c r="C2447" s="610" t="s">
        <v>2721</v>
      </c>
      <c r="D2447" s="610" t="s">
        <v>1631</v>
      </c>
      <c r="E2447" s="610" t="s">
        <v>2735</v>
      </c>
    </row>
    <row r="2448" spans="1:5" ht="15.6">
      <c r="A2448" s="736" t="s">
        <v>2692</v>
      </c>
      <c r="B2448" s="737">
        <v>4</v>
      </c>
      <c r="C2448" s="738">
        <f>95.6/4</f>
        <v>23.9</v>
      </c>
      <c r="D2448" s="738">
        <f>83.76/4</f>
        <v>20.94</v>
      </c>
      <c r="E2448" s="738">
        <f>111.8/4</f>
        <v>27.95</v>
      </c>
    </row>
    <row r="2449" spans="1:5" ht="15.6">
      <c r="A2449" s="736" t="s">
        <v>2693</v>
      </c>
      <c r="B2449" s="737">
        <v>1</v>
      </c>
      <c r="C2449" s="738">
        <v>23.9</v>
      </c>
      <c r="D2449" s="738">
        <v>17.940000000000001</v>
      </c>
      <c r="E2449" s="738">
        <v>20.95</v>
      </c>
    </row>
    <row r="2450" spans="1:5" ht="15.6">
      <c r="A2450" s="736" t="s">
        <v>2694</v>
      </c>
      <c r="B2450" s="737">
        <v>6</v>
      </c>
      <c r="C2450" s="738">
        <f>36.66/6</f>
        <v>6.1099999999999994</v>
      </c>
      <c r="D2450" s="738">
        <f>32.94/6</f>
        <v>5.4899999999999993</v>
      </c>
      <c r="E2450" s="738">
        <f>41.4/6</f>
        <v>6.8999999999999995</v>
      </c>
    </row>
    <row r="2451" spans="1:5" ht="15.6">
      <c r="A2451" s="736" t="s">
        <v>2695</v>
      </c>
      <c r="B2451" s="737">
        <v>3</v>
      </c>
      <c r="C2451" s="738">
        <f>21.42/3</f>
        <v>7.1400000000000006</v>
      </c>
      <c r="D2451" s="738">
        <f>26.97/3</f>
        <v>8.99</v>
      </c>
      <c r="E2451" s="738">
        <f>32.85/3</f>
        <v>10.950000000000001</v>
      </c>
    </row>
    <row r="2452" spans="1:5" ht="15.6">
      <c r="A2452" s="736" t="s">
        <v>2696</v>
      </c>
      <c r="B2452" s="737">
        <v>10</v>
      </c>
      <c r="C2452" s="738">
        <f>6.2/10</f>
        <v>0.62</v>
      </c>
      <c r="D2452" s="738">
        <f>10.9/10</f>
        <v>1.0900000000000001</v>
      </c>
      <c r="E2452" s="738">
        <f>9/10</f>
        <v>0.9</v>
      </c>
    </row>
    <row r="2453" spans="1:5" ht="15.6">
      <c r="A2453" s="736" t="s">
        <v>2697</v>
      </c>
      <c r="B2453" s="737">
        <v>1</v>
      </c>
      <c r="C2453" s="738">
        <v>6.07</v>
      </c>
      <c r="D2453" s="738">
        <v>21.99</v>
      </c>
      <c r="E2453" s="738">
        <v>23.5</v>
      </c>
    </row>
    <row r="2454" spans="1:5" ht="15.6">
      <c r="A2454" s="736" t="s">
        <v>2698</v>
      </c>
      <c r="B2454" s="737">
        <v>2</v>
      </c>
      <c r="C2454" s="738">
        <f>22.38/2</f>
        <v>11.19</v>
      </c>
      <c r="D2454" s="738">
        <f>19.98/2</f>
        <v>9.99</v>
      </c>
      <c r="E2454" s="738">
        <f>21.9/2</f>
        <v>10.95</v>
      </c>
    </row>
    <row r="2455" spans="1:5" ht="15.6">
      <c r="A2455" s="736" t="s">
        <v>2699</v>
      </c>
      <c r="B2455" s="737">
        <v>1</v>
      </c>
      <c r="C2455" s="738">
        <v>46.09</v>
      </c>
      <c r="D2455" s="738">
        <v>22.99</v>
      </c>
      <c r="E2455" s="738">
        <v>32.9</v>
      </c>
    </row>
    <row r="2456" spans="1:5" ht="15.6">
      <c r="A2456" s="736" t="s">
        <v>2700</v>
      </c>
      <c r="B2456" s="737">
        <v>1</v>
      </c>
      <c r="C2456" s="738">
        <v>4.32</v>
      </c>
      <c r="D2456" s="738">
        <v>3.99</v>
      </c>
      <c r="E2456" s="738">
        <v>3.9</v>
      </c>
    </row>
    <row r="2457" spans="1:5" ht="15.6">
      <c r="A2457" s="736" t="s">
        <v>2701</v>
      </c>
      <c r="B2457" s="737">
        <v>1</v>
      </c>
      <c r="C2457" s="738">
        <v>12.64</v>
      </c>
      <c r="D2457" s="738">
        <v>14.99</v>
      </c>
      <c r="E2457" s="738">
        <v>12.95</v>
      </c>
    </row>
    <row r="2458" spans="1:5" ht="15.6">
      <c r="A2458" s="736" t="s">
        <v>2702</v>
      </c>
      <c r="B2458" s="737">
        <v>1</v>
      </c>
      <c r="C2458" s="738">
        <v>16.73</v>
      </c>
      <c r="D2458" s="738">
        <v>21.99</v>
      </c>
      <c r="E2458" s="738">
        <v>17.95</v>
      </c>
    </row>
    <row r="2459" spans="1:5" ht="15.6">
      <c r="A2459" s="736" t="s">
        <v>2703</v>
      </c>
      <c r="B2459" s="737">
        <v>1</v>
      </c>
      <c r="C2459" s="738">
        <v>1.95</v>
      </c>
      <c r="D2459" s="738">
        <v>1.9</v>
      </c>
      <c r="E2459" s="738">
        <v>2.2000000000000002</v>
      </c>
    </row>
    <row r="2460" spans="1:5" ht="15.6">
      <c r="A2460" s="736" t="s">
        <v>2704</v>
      </c>
      <c r="B2460" s="737">
        <v>1</v>
      </c>
      <c r="C2460" s="738">
        <v>449.9</v>
      </c>
      <c r="D2460" s="738">
        <v>469.99</v>
      </c>
      <c r="E2460" s="738">
        <v>479.9</v>
      </c>
    </row>
    <row r="2461" spans="1:5" ht="15.6">
      <c r="A2461" s="736" t="s">
        <v>2705</v>
      </c>
      <c r="B2461" s="737">
        <v>2</v>
      </c>
      <c r="C2461" s="738">
        <f>117.8/2</f>
        <v>58.9</v>
      </c>
      <c r="D2461" s="738">
        <f>159.98/2</f>
        <v>79.989999999999995</v>
      </c>
      <c r="E2461" s="738">
        <f>143.9/2</f>
        <v>71.95</v>
      </c>
    </row>
    <row r="2462" spans="1:5" ht="15.6">
      <c r="A2462" s="736" t="s">
        <v>2706</v>
      </c>
      <c r="B2462" s="737">
        <v>2</v>
      </c>
      <c r="C2462" s="738">
        <f>139.8/2</f>
        <v>69.900000000000006</v>
      </c>
      <c r="D2462" s="738">
        <f>137.98/2</f>
        <v>68.989999999999995</v>
      </c>
      <c r="E2462" s="738">
        <f>149.8/2</f>
        <v>74.900000000000006</v>
      </c>
    </row>
    <row r="2463" spans="1:5" ht="15.6">
      <c r="A2463" s="736" t="s">
        <v>2707</v>
      </c>
      <c r="B2463" s="737">
        <v>1</v>
      </c>
      <c r="C2463" s="738">
        <v>103.91</v>
      </c>
      <c r="D2463" s="738">
        <v>136.99</v>
      </c>
      <c r="E2463" s="738">
        <v>15.9</v>
      </c>
    </row>
    <row r="2464" spans="1:5" ht="15.6">
      <c r="A2464" s="736" t="s">
        <v>2708</v>
      </c>
      <c r="B2464" s="737">
        <v>2</v>
      </c>
      <c r="C2464" s="738">
        <f>12.12/2</f>
        <v>6.06</v>
      </c>
      <c r="D2464" s="738">
        <f>11.98/2</f>
        <v>5.99</v>
      </c>
      <c r="E2464" s="738">
        <f>9.4/2</f>
        <v>4.7</v>
      </c>
    </row>
    <row r="2465" spans="1:5" ht="15.6">
      <c r="A2465" s="736" t="s">
        <v>2709</v>
      </c>
      <c r="B2465" s="737">
        <v>4</v>
      </c>
      <c r="C2465" s="738">
        <f>2.72/4</f>
        <v>0.68</v>
      </c>
      <c r="D2465" s="738">
        <f>1.98/4</f>
        <v>0.495</v>
      </c>
      <c r="E2465" s="738">
        <f>3/4</f>
        <v>0.75</v>
      </c>
    </row>
    <row r="2466" spans="1:5" ht="15.6">
      <c r="A2466" s="736" t="s">
        <v>2710</v>
      </c>
      <c r="B2466" s="737">
        <v>4</v>
      </c>
      <c r="C2466" s="738">
        <f>5.36/4</f>
        <v>1.34</v>
      </c>
      <c r="D2466" s="738">
        <v>0</v>
      </c>
      <c r="E2466" s="738">
        <f>3.6/4</f>
        <v>0.9</v>
      </c>
    </row>
    <row r="2467" spans="1:5" ht="15.6">
      <c r="A2467" s="736" t="s">
        <v>2711</v>
      </c>
      <c r="B2467" s="737">
        <v>2</v>
      </c>
      <c r="C2467" s="738">
        <f>1.98/2</f>
        <v>0.99</v>
      </c>
      <c r="D2467" s="738">
        <f>2.18/2</f>
        <v>1.0900000000000001</v>
      </c>
      <c r="E2467" s="738">
        <f>2/2</f>
        <v>1</v>
      </c>
    </row>
    <row r="2468" spans="1:5" ht="15.6">
      <c r="A2468" s="736" t="s">
        <v>2712</v>
      </c>
      <c r="B2468" s="737">
        <v>4</v>
      </c>
      <c r="C2468" s="738">
        <f>2.48/4</f>
        <v>0.62</v>
      </c>
      <c r="D2468" s="738">
        <f>4.36/4</f>
        <v>1.0900000000000001</v>
      </c>
      <c r="E2468" s="738">
        <f>3.6/4</f>
        <v>0.9</v>
      </c>
    </row>
    <row r="2469" spans="1:5" ht="15.6">
      <c r="A2469" s="911" t="s">
        <v>2713</v>
      </c>
      <c r="B2469" s="912"/>
      <c r="C2469" s="738">
        <v>0</v>
      </c>
      <c r="D2469" s="738">
        <v>0</v>
      </c>
      <c r="E2469" s="738">
        <v>0</v>
      </c>
    </row>
    <row r="2470" spans="1:5" ht="15.6">
      <c r="A2470" s="736" t="s">
        <v>2714</v>
      </c>
      <c r="B2470" s="737">
        <v>2</v>
      </c>
      <c r="C2470" s="738">
        <f>799.8/2</f>
        <v>399.9</v>
      </c>
      <c r="D2470" s="738">
        <f>1060/2</f>
        <v>530</v>
      </c>
      <c r="E2470" s="738">
        <f>959.8/2</f>
        <v>479.9</v>
      </c>
    </row>
    <row r="2471" spans="1:5" ht="15.6">
      <c r="A2471" s="736" t="s">
        <v>2715</v>
      </c>
      <c r="B2471" s="737">
        <v>2</v>
      </c>
      <c r="C2471" s="738">
        <f>45.54/2</f>
        <v>22.77</v>
      </c>
      <c r="D2471" s="738">
        <f>17.98/2</f>
        <v>8.99</v>
      </c>
      <c r="E2471" s="738">
        <f>21.8/2</f>
        <v>10.9</v>
      </c>
    </row>
    <row r="2472" spans="1:5" ht="15.6">
      <c r="A2472" s="736" t="s">
        <v>2716</v>
      </c>
      <c r="B2472" s="737">
        <v>1</v>
      </c>
      <c r="C2472" s="738">
        <v>50.9</v>
      </c>
      <c r="D2472" s="738">
        <v>39.299999999999997</v>
      </c>
      <c r="E2472" s="738">
        <v>46.9</v>
      </c>
    </row>
    <row r="2473" spans="1:5" ht="15.6">
      <c r="A2473" s="736" t="s">
        <v>2722</v>
      </c>
      <c r="B2473" s="737">
        <v>5</v>
      </c>
      <c r="C2473" s="738">
        <f>19.2/5</f>
        <v>3.84</v>
      </c>
      <c r="D2473" s="738">
        <f>24.95/5</f>
        <v>4.99</v>
      </c>
      <c r="E2473" s="738">
        <f>34.75/5</f>
        <v>6.95</v>
      </c>
    </row>
    <row r="2474" spans="1:5" ht="15.6">
      <c r="A2474" s="736" t="s">
        <v>2723</v>
      </c>
      <c r="B2474" s="737">
        <v>4</v>
      </c>
      <c r="C2474" s="738">
        <f>5.16/4</f>
        <v>1.29</v>
      </c>
      <c r="D2474" s="738">
        <f>5.96/4</f>
        <v>1.49</v>
      </c>
      <c r="E2474" s="738">
        <f>5.2/4</f>
        <v>1.3</v>
      </c>
    </row>
    <row r="2475" spans="1:5" ht="15.6">
      <c r="A2475" s="736" t="s">
        <v>2724</v>
      </c>
      <c r="B2475" s="737" t="s">
        <v>2719</v>
      </c>
      <c r="C2475" s="738">
        <v>57</v>
      </c>
      <c r="D2475" s="738">
        <v>59.7</v>
      </c>
      <c r="E2475" s="738">
        <v>63</v>
      </c>
    </row>
    <row r="2476" spans="1:5" ht="15.6">
      <c r="A2476" s="736" t="s">
        <v>2725</v>
      </c>
      <c r="B2476" s="737" t="s">
        <v>2720</v>
      </c>
      <c r="C2476" s="738">
        <v>199.14</v>
      </c>
      <c r="D2476" s="738">
        <v>149.5</v>
      </c>
      <c r="E2476" s="738">
        <v>179.8</v>
      </c>
    </row>
    <row r="2477" spans="1:5" ht="15.6">
      <c r="A2477" s="736" t="s">
        <v>2718</v>
      </c>
      <c r="B2477" s="737">
        <v>2</v>
      </c>
      <c r="C2477" s="738">
        <f>91.8/2</f>
        <v>45.9</v>
      </c>
      <c r="D2477" s="738">
        <f>69.98/2</f>
        <v>34.99</v>
      </c>
      <c r="E2477" s="738">
        <f>75/2</f>
        <v>37.5</v>
      </c>
    </row>
    <row r="2478" spans="1:5" ht="15.6">
      <c r="A2478" s="739" t="s">
        <v>2717</v>
      </c>
      <c r="B2478" s="740">
        <v>1</v>
      </c>
      <c r="C2478" s="738">
        <v>155.9</v>
      </c>
      <c r="D2478" s="738">
        <v>149.99</v>
      </c>
      <c r="E2478" s="738">
        <v>0</v>
      </c>
    </row>
    <row r="2479" spans="1:5" ht="15.6">
      <c r="A2479" s="736" t="s">
        <v>2726</v>
      </c>
      <c r="B2479" s="737">
        <v>1</v>
      </c>
      <c r="C2479" s="738">
        <v>14.9</v>
      </c>
      <c r="D2479" s="738">
        <v>25.98</v>
      </c>
      <c r="E2479" s="738">
        <v>0</v>
      </c>
    </row>
    <row r="2480" spans="1:5" ht="15.6">
      <c r="A2480" s="736" t="s">
        <v>2727</v>
      </c>
      <c r="B2480" s="737">
        <v>1</v>
      </c>
      <c r="C2480" s="741">
        <v>30.9</v>
      </c>
      <c r="D2480" s="738">
        <v>19.989999999999998</v>
      </c>
      <c r="E2480" s="738">
        <v>0</v>
      </c>
    </row>
    <row r="2481" spans="1:5" ht="15.6">
      <c r="A2481" s="736" t="s">
        <v>2728</v>
      </c>
      <c r="B2481" s="737">
        <v>10</v>
      </c>
      <c r="C2481" s="741">
        <f>21.9/10</f>
        <v>2.19</v>
      </c>
      <c r="D2481" s="738">
        <f>17.9/10</f>
        <v>1.7899999999999998</v>
      </c>
      <c r="E2481" s="738">
        <f>18/10</f>
        <v>1.8</v>
      </c>
    </row>
    <row r="2482" spans="1:5" ht="15.6">
      <c r="A2482" s="736" t="s">
        <v>2730</v>
      </c>
      <c r="B2482" s="737" t="s">
        <v>2729</v>
      </c>
      <c r="C2482" s="741">
        <f>1795.79/60</f>
        <v>29.929833333333331</v>
      </c>
      <c r="D2482" s="738">
        <v>27.99</v>
      </c>
      <c r="E2482" s="909">
        <v>32.9</v>
      </c>
    </row>
    <row r="2483" spans="1:5" ht="15.6">
      <c r="A2483" s="736" t="s">
        <v>2731</v>
      </c>
      <c r="B2483" s="737" t="s">
        <v>2732</v>
      </c>
      <c r="C2483" s="741">
        <f>158.01/6</f>
        <v>26.334999999999997</v>
      </c>
      <c r="D2483" s="738">
        <v>24.99</v>
      </c>
      <c r="E2483" s="910"/>
    </row>
    <row r="2484" spans="1:5" ht="15.6">
      <c r="A2484" s="736" t="s">
        <v>2761</v>
      </c>
      <c r="B2484" s="737" t="s">
        <v>2764</v>
      </c>
      <c r="C2484" s="741">
        <v>0</v>
      </c>
      <c r="D2484" s="738">
        <v>33.99</v>
      </c>
      <c r="E2484" s="738">
        <v>31.9</v>
      </c>
    </row>
    <row r="2485" spans="1:5" ht="15.6">
      <c r="A2485" s="736" t="s">
        <v>2762</v>
      </c>
      <c r="B2485" s="737" t="s">
        <v>2763</v>
      </c>
      <c r="C2485" s="741">
        <v>0</v>
      </c>
      <c r="D2485" s="738">
        <v>7.99</v>
      </c>
      <c r="E2485" s="738">
        <v>6.5</v>
      </c>
    </row>
    <row r="2486" spans="1:5" ht="15.6">
      <c r="A2486" s="913" t="s">
        <v>238</v>
      </c>
      <c r="B2486" s="914"/>
      <c r="C2486" s="742">
        <f>SUM(C2448:C2483)</f>
        <v>1893.8548333333335</v>
      </c>
      <c r="D2486" s="742">
        <f>SUM(D2448:D2485)</f>
        <v>2038.585</v>
      </c>
      <c r="E2486" s="742">
        <f>SUM(E2448:E2485)</f>
        <v>1722.2500000000002</v>
      </c>
    </row>
    <row r="2489" spans="1:5">
      <c r="A2489" s="412" t="s">
        <v>2736</v>
      </c>
      <c r="B2489" s="413" t="s">
        <v>2744</v>
      </c>
      <c r="C2489" s="413" t="s">
        <v>1060</v>
      </c>
      <c r="D2489" s="413" t="s">
        <v>2036</v>
      </c>
      <c r="E2489" s="413" t="s">
        <v>2753</v>
      </c>
    </row>
    <row r="2490" spans="1:5">
      <c r="A2490" s="16" t="s">
        <v>2737</v>
      </c>
      <c r="B2490" s="100" t="s">
        <v>2745</v>
      </c>
      <c r="C2490" s="100">
        <v>2</v>
      </c>
      <c r="D2490" s="30">
        <v>2058.2800000000002</v>
      </c>
      <c r="E2490" s="16"/>
    </row>
    <row r="2491" spans="1:5">
      <c r="A2491" s="16" t="s">
        <v>2738</v>
      </c>
      <c r="B2491" s="100" t="s">
        <v>2745</v>
      </c>
      <c r="C2491" s="100">
        <v>2</v>
      </c>
      <c r="D2491" s="30">
        <v>2101.16</v>
      </c>
      <c r="E2491" s="16"/>
    </row>
    <row r="2492" spans="1:5">
      <c r="A2492" s="16" t="s">
        <v>2739</v>
      </c>
      <c r="B2492" s="100" t="s">
        <v>2745</v>
      </c>
      <c r="C2492" s="100">
        <v>2</v>
      </c>
      <c r="D2492" s="30">
        <v>2101.16</v>
      </c>
      <c r="E2492" s="16"/>
    </row>
    <row r="2493" spans="1:5">
      <c r="A2493" s="16" t="s">
        <v>2740</v>
      </c>
      <c r="B2493" s="100" t="s">
        <v>2745</v>
      </c>
      <c r="C2493" s="100">
        <v>2</v>
      </c>
      <c r="D2493" s="30">
        <v>2813.56</v>
      </c>
      <c r="E2493" s="16"/>
    </row>
    <row r="2494" spans="1:5">
      <c r="A2494" s="16" t="s">
        <v>2741</v>
      </c>
      <c r="B2494" s="100" t="s">
        <v>2745</v>
      </c>
      <c r="C2494" s="100">
        <v>2</v>
      </c>
      <c r="D2494" s="30">
        <v>2813.56</v>
      </c>
      <c r="E2494" s="16"/>
    </row>
    <row r="2495" spans="1:5">
      <c r="A2495" s="16" t="s">
        <v>2742</v>
      </c>
      <c r="B2495" s="100"/>
      <c r="C2495" s="100">
        <v>36</v>
      </c>
      <c r="D2495" s="30">
        <v>245.88</v>
      </c>
      <c r="E2495" s="16"/>
    </row>
    <row r="2496" spans="1:5">
      <c r="A2496" s="16" t="s">
        <v>2743</v>
      </c>
      <c r="B2496" s="100"/>
      <c r="C2496" s="100">
        <v>36</v>
      </c>
      <c r="D2496" s="30">
        <v>696.6</v>
      </c>
      <c r="E2496" s="16"/>
    </row>
    <row r="2497" spans="1:6">
      <c r="A2497" s="908" t="s">
        <v>238</v>
      </c>
      <c r="B2497" s="908"/>
      <c r="C2497" s="908"/>
      <c r="D2497" s="311">
        <f>SUM(D2490:D2496)</f>
        <v>12830.199999999999</v>
      </c>
      <c r="E2497" s="315">
        <v>8556.98</v>
      </c>
      <c r="F2497" s="215"/>
    </row>
    <row r="2498" spans="1:6">
      <c r="B2498" s="1"/>
    </row>
    <row r="2499" spans="1:6">
      <c r="A2499" s="412" t="s">
        <v>2746</v>
      </c>
      <c r="B2499" s="413" t="s">
        <v>2747</v>
      </c>
      <c r="C2499" s="413" t="s">
        <v>790</v>
      </c>
      <c r="D2499" s="412" t="s">
        <v>421</v>
      </c>
    </row>
    <row r="2500" spans="1:6">
      <c r="A2500" s="16" t="s">
        <v>1107</v>
      </c>
      <c r="B2500" s="115">
        <v>1443.69</v>
      </c>
      <c r="C2500" s="30"/>
      <c r="D2500" s="30">
        <v>80</v>
      </c>
    </row>
    <row r="2501" spans="1:6">
      <c r="B2501" s="1"/>
    </row>
    <row r="2502" spans="1:6">
      <c r="A2502" s="330" t="s">
        <v>2754</v>
      </c>
      <c r="B2502" s="530" t="s">
        <v>2455</v>
      </c>
      <c r="C2502" s="16"/>
    </row>
    <row r="2503" spans="1:6">
      <c r="A2503" s="16" t="s">
        <v>2755</v>
      </c>
      <c r="B2503" s="115">
        <f>2*590</f>
        <v>1180</v>
      </c>
      <c r="C2503" s="16"/>
    </row>
    <row r="2504" spans="1:6">
      <c r="A2504" s="16" t="s">
        <v>2756</v>
      </c>
      <c r="B2504" s="115">
        <f>2*560</f>
        <v>1120</v>
      </c>
      <c r="C2504" s="16"/>
    </row>
    <row r="2505" spans="1:6" ht="15" thickBot="1"/>
    <row r="2506" spans="1:6" ht="16.2" thickBot="1">
      <c r="A2506" s="718" t="s">
        <v>2758</v>
      </c>
      <c r="B2506" s="719"/>
      <c r="C2506" s="719"/>
      <c r="D2506" s="720"/>
    </row>
    <row r="2507" spans="1:6" ht="15" thickBot="1">
      <c r="A2507" s="304" t="s">
        <v>319</v>
      </c>
      <c r="B2507" s="305" t="s">
        <v>33</v>
      </c>
      <c r="C2507" s="306" t="s">
        <v>2590</v>
      </c>
      <c r="D2507" s="306" t="s">
        <v>2591</v>
      </c>
    </row>
    <row r="2508" spans="1:6">
      <c r="A2508" s="140" t="s">
        <v>322</v>
      </c>
      <c r="B2508" s="141" t="s">
        <v>323</v>
      </c>
      <c r="C2508" s="302">
        <v>6.1</v>
      </c>
      <c r="D2508" s="282">
        <v>6.08</v>
      </c>
    </row>
    <row r="2509" spans="1:6">
      <c r="A2509" s="3" t="s">
        <v>326</v>
      </c>
      <c r="B2509" s="100" t="s">
        <v>327</v>
      </c>
      <c r="C2509" s="30">
        <v>6.1</v>
      </c>
      <c r="D2509" s="115">
        <v>6.03</v>
      </c>
    </row>
    <row r="2510" spans="1:6">
      <c r="A2510" s="670" t="s">
        <v>330</v>
      </c>
      <c r="B2510" s="652" t="s">
        <v>331</v>
      </c>
      <c r="C2510" s="733" t="s">
        <v>983</v>
      </c>
      <c r="D2510" s="115">
        <v>6.02</v>
      </c>
    </row>
    <row r="2511" spans="1:6">
      <c r="A2511" s="3" t="s">
        <v>1542</v>
      </c>
      <c r="B2511" s="100" t="s">
        <v>1543</v>
      </c>
      <c r="C2511" s="116">
        <v>6.1</v>
      </c>
      <c r="D2511" s="30">
        <v>6.1</v>
      </c>
    </row>
    <row r="2512" spans="1:6">
      <c r="A2512" s="3" t="s">
        <v>334</v>
      </c>
      <c r="B2512" s="100" t="s">
        <v>335</v>
      </c>
      <c r="C2512" s="16" t="s">
        <v>2760</v>
      </c>
      <c r="D2512" s="30">
        <v>5.92</v>
      </c>
    </row>
    <row r="2514" spans="1:5" ht="15.6">
      <c r="A2514" s="551" t="s">
        <v>2766</v>
      </c>
      <c r="B2514" s="610" t="s">
        <v>1060</v>
      </c>
      <c r="C2514" s="530" t="s">
        <v>1371</v>
      </c>
      <c r="D2514" s="530" t="s">
        <v>2767</v>
      </c>
      <c r="E2514" s="530" t="s">
        <v>2768</v>
      </c>
    </row>
    <row r="2515" spans="1:5">
      <c r="A2515" s="278" t="s">
        <v>490</v>
      </c>
      <c r="B2515" s="100" t="s">
        <v>491</v>
      </c>
      <c r="C2515" s="16">
        <v>432.58</v>
      </c>
      <c r="D2515" s="30">
        <v>415.8</v>
      </c>
      <c r="E2515" s="30">
        <v>388</v>
      </c>
    </row>
    <row r="2516" spans="1:5">
      <c r="A2516" s="278" t="s">
        <v>1055</v>
      </c>
      <c r="B2516" s="100" t="s">
        <v>491</v>
      </c>
      <c r="C2516" s="16">
        <v>448.67</v>
      </c>
      <c r="D2516" s="30">
        <v>510.03</v>
      </c>
      <c r="E2516" s="30">
        <v>498.3</v>
      </c>
    </row>
    <row r="2518" spans="1:5">
      <c r="A2518" s="330" t="s">
        <v>2769</v>
      </c>
      <c r="B2518" s="530" t="s">
        <v>2770</v>
      </c>
      <c r="C2518" s="530" t="s">
        <v>2771</v>
      </c>
    </row>
    <row r="2519" spans="1:5">
      <c r="A2519" s="16" t="s">
        <v>2773</v>
      </c>
      <c r="B2519" s="30">
        <v>1960</v>
      </c>
      <c r="C2519" s="100" t="s">
        <v>527</v>
      </c>
    </row>
    <row r="2520" spans="1:5">
      <c r="A2520" s="16" t="s">
        <v>2772</v>
      </c>
      <c r="B2520" s="100" t="s">
        <v>527</v>
      </c>
      <c r="C2520" s="30">
        <f>515</f>
        <v>515</v>
      </c>
    </row>
    <row r="2522" spans="1:5" ht="15.6">
      <c r="A2522" s="412" t="s">
        <v>2781</v>
      </c>
      <c r="B2522" s="744" t="s">
        <v>1060</v>
      </c>
      <c r="C2522" s="413" t="s">
        <v>2455</v>
      </c>
      <c r="D2522" s="413" t="s">
        <v>2784</v>
      </c>
    </row>
    <row r="2523" spans="1:5">
      <c r="A2523" s="16" t="s">
        <v>2782</v>
      </c>
      <c r="B2523" s="100">
        <v>2</v>
      </c>
      <c r="C2523" s="30">
        <f>560*B2523</f>
        <v>1120</v>
      </c>
      <c r="D2523" s="30">
        <f>880*2</f>
        <v>1760</v>
      </c>
    </row>
    <row r="2524" spans="1:5">
      <c r="A2524" s="16" t="s">
        <v>2783</v>
      </c>
      <c r="B2524" s="100">
        <v>2</v>
      </c>
      <c r="C2524" s="30">
        <f>590*2</f>
        <v>1180</v>
      </c>
      <c r="D2524" s="30">
        <f>880*2</f>
        <v>1760</v>
      </c>
    </row>
    <row r="2526" spans="1:5">
      <c r="A2526" s="412" t="s">
        <v>2788</v>
      </c>
      <c r="B2526" s="413" t="s">
        <v>421</v>
      </c>
    </row>
    <row r="2527" spans="1:5">
      <c r="A2527" s="16" t="s">
        <v>2789</v>
      </c>
      <c r="B2527" s="16"/>
    </row>
    <row r="2528" spans="1:5">
      <c r="A2528" s="16" t="s">
        <v>2790</v>
      </c>
      <c r="B2528" s="16"/>
    </row>
    <row r="2529" spans="1:6">
      <c r="A2529" s="986" t="s">
        <v>238</v>
      </c>
      <c r="B2529" s="30">
        <v>270</v>
      </c>
    </row>
    <row r="2531" spans="1:6" ht="15.6">
      <c r="A2531" s="985" t="s">
        <v>2786</v>
      </c>
      <c r="B2531" s="744" t="s">
        <v>1060</v>
      </c>
      <c r="C2531" s="984" t="s">
        <v>2791</v>
      </c>
    </row>
    <row r="2532" spans="1:6">
      <c r="A2532" t="s">
        <v>2787</v>
      </c>
    </row>
    <row r="2534" spans="1:6" ht="15.6">
      <c r="A2534" s="528" t="s">
        <v>2785</v>
      </c>
      <c r="B2534" s="744" t="s">
        <v>1060</v>
      </c>
      <c r="C2534" s="413" t="s">
        <v>941</v>
      </c>
      <c r="D2534" s="413" t="s">
        <v>2753</v>
      </c>
      <c r="E2534" s="413" t="s">
        <v>2036</v>
      </c>
      <c r="F2534" s="413" t="s">
        <v>2249</v>
      </c>
    </row>
    <row r="2535" spans="1:6">
      <c r="A2535" s="16" t="s">
        <v>2793</v>
      </c>
      <c r="B2535" s="100">
        <v>8</v>
      </c>
      <c r="C2535" s="30">
        <f>B2535*219.655</f>
        <v>1757.24</v>
      </c>
      <c r="D2535" s="16"/>
      <c r="E2535" s="16"/>
      <c r="F2535" s="16"/>
    </row>
    <row r="2536" spans="1:6">
      <c r="A2536" s="987" t="s">
        <v>2792</v>
      </c>
      <c r="B2536" s="100">
        <v>8</v>
      </c>
      <c r="C2536" s="30">
        <f>25.925*B2536</f>
        <v>207.4</v>
      </c>
      <c r="D2536" s="16"/>
      <c r="E2536" s="16"/>
      <c r="F2536" s="16"/>
    </row>
  </sheetData>
  <mergeCells count="229">
    <mergeCell ref="C1663:D1663"/>
    <mergeCell ref="A1601:B1601"/>
    <mergeCell ref="A1607:B1607"/>
    <mergeCell ref="D1798:D1800"/>
    <mergeCell ref="A1727:G1727"/>
    <mergeCell ref="C2177:C2180"/>
    <mergeCell ref="A2274:B2274"/>
    <mergeCell ref="A2295:B2295"/>
    <mergeCell ref="A2497:C2497"/>
    <mergeCell ref="E2482:E2483"/>
    <mergeCell ref="C1624:D1624"/>
    <mergeCell ref="A1636:C1636"/>
    <mergeCell ref="A1821:B1821"/>
    <mergeCell ref="E2079:F2079"/>
    <mergeCell ref="A2011:D2011"/>
    <mergeCell ref="A2382:B2382"/>
    <mergeCell ref="A2469:B2469"/>
    <mergeCell ref="A2486:B2486"/>
    <mergeCell ref="A2000:B2000"/>
    <mergeCell ref="A2381:B2381"/>
    <mergeCell ref="A2403:B2403"/>
    <mergeCell ref="D2406:D2407"/>
    <mergeCell ref="A2302:F2303"/>
    <mergeCell ref="A2223:B2223"/>
    <mergeCell ref="E1345:F1345"/>
    <mergeCell ref="A1580:B1580"/>
    <mergeCell ref="A1550:B1550"/>
    <mergeCell ref="A1574:B1574"/>
    <mergeCell ref="B1482:B1483"/>
    <mergeCell ref="C1482:C1483"/>
    <mergeCell ref="A1478:E1480"/>
    <mergeCell ref="A1448:B1448"/>
    <mergeCell ref="A1576:A1577"/>
    <mergeCell ref="B1576:B1577"/>
    <mergeCell ref="A1538:B1538"/>
    <mergeCell ref="A1539:B1539"/>
    <mergeCell ref="F1349:F1350"/>
    <mergeCell ref="D1349:D1350"/>
    <mergeCell ref="A1349:A1350"/>
    <mergeCell ref="H818:H819"/>
    <mergeCell ref="A872:B872"/>
    <mergeCell ref="A873:B873"/>
    <mergeCell ref="B862:B863"/>
    <mergeCell ref="B855:B856"/>
    <mergeCell ref="A823:B823"/>
    <mergeCell ref="A825:A826"/>
    <mergeCell ref="B825:B826"/>
    <mergeCell ref="A828:B828"/>
    <mergeCell ref="A584:B584"/>
    <mergeCell ref="A575:B575"/>
    <mergeCell ref="B1006:C1006"/>
    <mergeCell ref="F582:G582"/>
    <mergeCell ref="D594:D596"/>
    <mergeCell ref="A588:B590"/>
    <mergeCell ref="E594:E596"/>
    <mergeCell ref="D588:D590"/>
    <mergeCell ref="D591:D593"/>
    <mergeCell ref="F588:F590"/>
    <mergeCell ref="F591:F593"/>
    <mergeCell ref="E588:E590"/>
    <mergeCell ref="E591:E593"/>
    <mergeCell ref="A594:B596"/>
    <mergeCell ref="C594:C596"/>
    <mergeCell ref="C588:C590"/>
    <mergeCell ref="D597:D599"/>
    <mergeCell ref="A709:B709"/>
    <mergeCell ref="A736:B736"/>
    <mergeCell ref="F815:G815"/>
    <mergeCell ref="A705:A706"/>
    <mergeCell ref="F600:F602"/>
    <mergeCell ref="C793:D793"/>
    <mergeCell ref="C591:C593"/>
    <mergeCell ref="A591:B593"/>
    <mergeCell ref="A1159:A1160"/>
    <mergeCell ref="A929:B929"/>
    <mergeCell ref="F594:F596"/>
    <mergeCell ref="C597:C599"/>
    <mergeCell ref="E335:F335"/>
    <mergeCell ref="A612:B612"/>
    <mergeCell ref="A614:A615"/>
    <mergeCell ref="D368:E368"/>
    <mergeCell ref="C577:C578"/>
    <mergeCell ref="A577:A578"/>
    <mergeCell ref="B577:B578"/>
    <mergeCell ref="F585:F587"/>
    <mergeCell ref="A440:A441"/>
    <mergeCell ref="D585:D587"/>
    <mergeCell ref="E585:E587"/>
    <mergeCell ref="C585:C587"/>
    <mergeCell ref="A585:B587"/>
    <mergeCell ref="E597:E599"/>
    <mergeCell ref="F597:F599"/>
    <mergeCell ref="E600:E602"/>
    <mergeCell ref="A597:B599"/>
    <mergeCell ref="A454:A455"/>
    <mergeCell ref="D600:D602"/>
    <mergeCell ref="A1:D1"/>
    <mergeCell ref="A104:A107"/>
    <mergeCell ref="B93:B94"/>
    <mergeCell ref="A128:D128"/>
    <mergeCell ref="A163:B163"/>
    <mergeCell ref="A76:B76"/>
    <mergeCell ref="E336:F336"/>
    <mergeCell ref="A436:E437"/>
    <mergeCell ref="A407:B407"/>
    <mergeCell ref="A369:A370"/>
    <mergeCell ref="A169:B169"/>
    <mergeCell ref="J88:J89"/>
    <mergeCell ref="J147:J148"/>
    <mergeCell ref="H281:I281"/>
    <mergeCell ref="D277:D282"/>
    <mergeCell ref="I168:I169"/>
    <mergeCell ref="G195:G200"/>
    <mergeCell ref="F195:F200"/>
    <mergeCell ref="C214:C215"/>
    <mergeCell ref="E89:F89"/>
    <mergeCell ref="G193:G194"/>
    <mergeCell ref="F193:F194"/>
    <mergeCell ref="J196:K196"/>
    <mergeCell ref="A210:H210"/>
    <mergeCell ref="C243:C244"/>
    <mergeCell ref="A201:B201"/>
    <mergeCell ref="L181:M181"/>
    <mergeCell ref="B171:B172"/>
    <mergeCell ref="A171:A172"/>
    <mergeCell ref="A177:B177"/>
    <mergeCell ref="D179:D180"/>
    <mergeCell ref="E179:E180"/>
    <mergeCell ref="D369:E369"/>
    <mergeCell ref="A376:A377"/>
    <mergeCell ref="A381:B381"/>
    <mergeCell ref="B237:B238"/>
    <mergeCell ref="A237:A238"/>
    <mergeCell ref="A271:B271"/>
    <mergeCell ref="I371:J371"/>
    <mergeCell ref="A264:B264"/>
    <mergeCell ref="H293:I293"/>
    <mergeCell ref="F345:F346"/>
    <mergeCell ref="G316:J316"/>
    <mergeCell ref="G317:J317"/>
    <mergeCell ref="G315:J315"/>
    <mergeCell ref="G290:G291"/>
    <mergeCell ref="I296:I297"/>
    <mergeCell ref="G318:J318"/>
    <mergeCell ref="A283:B283"/>
    <mergeCell ref="A336:A337"/>
    <mergeCell ref="A600:B602"/>
    <mergeCell ref="C600:C602"/>
    <mergeCell ref="F614:F615"/>
    <mergeCell ref="E614:E615"/>
    <mergeCell ref="B705:B706"/>
    <mergeCell ref="A994:B994"/>
    <mergeCell ref="D1008:G1008"/>
    <mergeCell ref="D1011:G1011"/>
    <mergeCell ref="B1011:C1011"/>
    <mergeCell ref="C794:D794"/>
    <mergeCell ref="A809:B809"/>
    <mergeCell ref="A805:D805"/>
    <mergeCell ref="A754:F755"/>
    <mergeCell ref="A776:B776"/>
    <mergeCell ref="C748:D748"/>
    <mergeCell ref="D614:D615"/>
    <mergeCell ref="A660:A661"/>
    <mergeCell ref="A698:B698"/>
    <mergeCell ref="B617:C617"/>
    <mergeCell ref="B614:B615"/>
    <mergeCell ref="C614:C615"/>
    <mergeCell ref="A700:A701"/>
    <mergeCell ref="F1009:G1009"/>
    <mergeCell ref="B1008:C1008"/>
    <mergeCell ref="A1266:B1266"/>
    <mergeCell ref="A1272:C1272"/>
    <mergeCell ref="B1349:B1350"/>
    <mergeCell ref="C1349:C1350"/>
    <mergeCell ref="F816:G816"/>
    <mergeCell ref="G818:G819"/>
    <mergeCell ref="D1006:G1006"/>
    <mergeCell ref="D1007:E1007"/>
    <mergeCell ref="C1243:D1243"/>
    <mergeCell ref="D1071:E1071"/>
    <mergeCell ref="B1072:C1072"/>
    <mergeCell ref="D1072:G1072"/>
    <mergeCell ref="A1041:B1041"/>
    <mergeCell ref="B1070:C1070"/>
    <mergeCell ref="A1235:B1235"/>
    <mergeCell ref="A1190:B1190"/>
    <mergeCell ref="B1121:B1122"/>
    <mergeCell ref="C1121:C1122"/>
    <mergeCell ref="A1128:B1128"/>
    <mergeCell ref="C1028:C1029"/>
    <mergeCell ref="A817:B817"/>
    <mergeCell ref="A818:B818"/>
    <mergeCell ref="A971:B971"/>
    <mergeCell ref="A1019:B1019"/>
    <mergeCell ref="A1106:B1106"/>
    <mergeCell ref="C1145:C1146"/>
    <mergeCell ref="A1155:B1155"/>
    <mergeCell ref="B1159:B1160"/>
    <mergeCell ref="D1070:G1070"/>
    <mergeCell ref="B1157:B1158"/>
    <mergeCell ref="D1068:G1068"/>
    <mergeCell ref="A1157:A1158"/>
    <mergeCell ref="F1069:G1069"/>
    <mergeCell ref="B1068:C1068"/>
    <mergeCell ref="A1142:B1142"/>
    <mergeCell ref="A2126:D2126"/>
    <mergeCell ref="A2083:D2083"/>
    <mergeCell ref="A2434:B2434"/>
    <mergeCell ref="B2413:C2413"/>
    <mergeCell ref="A1340:B1340"/>
    <mergeCell ref="I1724:I1725"/>
    <mergeCell ref="G1723:H1723"/>
    <mergeCell ref="G1791:I1791"/>
    <mergeCell ref="G1796:I1796"/>
    <mergeCell ref="C1859:D1859"/>
    <mergeCell ref="A1856:I1858"/>
    <mergeCell ref="A1840:B1840"/>
    <mergeCell ref="G1981:G1982"/>
    <mergeCell ref="E1949:E1950"/>
    <mergeCell ref="E1762:F1762"/>
    <mergeCell ref="C1799:C1800"/>
    <mergeCell ref="A1749:B1749"/>
    <mergeCell ref="A1763:B1763"/>
    <mergeCell ref="G1924:G1925"/>
    <mergeCell ref="C1900:C1901"/>
    <mergeCell ref="A1906:B1906"/>
    <mergeCell ref="D1899:D1901"/>
    <mergeCell ref="E1801:E1802"/>
    <mergeCell ref="G1349:G1350"/>
  </mergeCells>
  <phoneticPr fontId="31" type="noConversion"/>
  <conditionalFormatting sqref="B1293:B1300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93:B1394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93:B1696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99:B1705 B1708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19:B1721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0:C720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3:C723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4:C724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5:C725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90:C129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16:C171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51:C185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2:D7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3:D723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8:D788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3:D803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63:D1063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96:D159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7:E667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61:F1661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7:C681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7:C68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0:C753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1:C753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7:C759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7:C768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7:C769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96:C797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97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8:C882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82:C983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83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98:C1001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98:C1002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22 C1025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51:C105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5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5:C1118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5:C1119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9 C1116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11:C1212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2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45:C124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45:C124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46 C1249"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54:C1357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54:C1359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69:C1371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69:C1372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70 C1372"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84:C1390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99:C140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99:C14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01:C1402 C1399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00 C1402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15:C1417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15:C1419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17:C1419 C1415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18:C1419 C1416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32:C143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94:C1497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54:C1557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87:C1589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26:C1631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65:C1668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67:C1668 C1665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61:C18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63:C1864 C1861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51:C195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53:C1954 C1951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18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18:C2425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09:D809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39:D1539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8:D247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9:D247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80:D248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82:D248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83:D24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6:E736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7:E737 C736:D736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27:E827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94:E994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7:E1037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8:E1038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9:E1039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40:E1040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50:E1550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80:E158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48:E244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49:E244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0:E245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1:E245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2:E245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3:E2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4:E245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5:E245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6:E245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7:E245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8:E245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9:E245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0:E246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1:E246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2:E246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3:E246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4:E246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5:E246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6:E246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7:E246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8:E246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0:E247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1:E247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2:E247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3:E247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4:E247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5:E247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6:E24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7:E247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81:E248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1:F571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2:F572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3:F573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4:F574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5:F575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2:F772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3:F773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4:F774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5:F775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6:F776 D777:F777 C778:F778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3:F873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94:F99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7:F1037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8:F1038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9:F1039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40:F1040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42:F1042 D1043:F1043 C1044:F1044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49:F1749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00:H200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39:D742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0:D753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6:D797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9 G969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70 D970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19 F1019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22 D1025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55 F1155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77 F1277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05:D1408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83:D1884 D18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85:D208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8:D2131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75:D218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37:D224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10:D231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86:D2389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08:D2511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8:E968 G968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65:E1565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66:E156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70:E1570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71:E1571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84:E248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85:E24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16:F191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8:G968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16:G191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36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6 E1122 C1119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55 E1155"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77"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65:G965 C965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66:G966 C966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67:G967 D967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69:G969 D969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70:G970 D970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7 G967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3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4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5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6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7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8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39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40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41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42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5:I1013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67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67:I107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68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69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0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3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4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5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9B4-CEFF-4EE4-8B94-7A8330F76BF9}">
  <dimension ref="A1:E4"/>
  <sheetViews>
    <sheetView workbookViewId="0">
      <selection activeCell="D15" sqref="D15"/>
    </sheetView>
  </sheetViews>
  <sheetFormatPr defaultRowHeight="14.4"/>
  <cols>
    <col min="1" max="1" width="12.6640625" bestFit="1" customWidth="1"/>
    <col min="2" max="2" width="14.44140625" bestFit="1" customWidth="1"/>
    <col min="3" max="3" width="14" bestFit="1" customWidth="1"/>
    <col min="4" max="4" width="22.21875" bestFit="1" customWidth="1"/>
  </cols>
  <sheetData>
    <row r="1" spans="1:5" ht="15" thickBot="1">
      <c r="A1" s="923" t="s">
        <v>780</v>
      </c>
      <c r="B1" s="924"/>
      <c r="C1" s="924"/>
      <c r="D1" s="924"/>
      <c r="E1" s="925"/>
    </row>
    <row r="2" spans="1:5" ht="15.6">
      <c r="A2" s="367" t="s">
        <v>319</v>
      </c>
      <c r="B2" s="365" t="s">
        <v>781</v>
      </c>
      <c r="C2" s="361" t="s">
        <v>782</v>
      </c>
      <c r="D2" s="361" t="s">
        <v>785</v>
      </c>
      <c r="E2" s="362" t="s">
        <v>784</v>
      </c>
    </row>
    <row r="3" spans="1:5" ht="16.2" thickBot="1">
      <c r="A3" s="368" t="s">
        <v>33</v>
      </c>
      <c r="B3" s="366" t="s">
        <v>777</v>
      </c>
      <c r="C3" s="363" t="s">
        <v>778</v>
      </c>
      <c r="D3" s="363" t="s">
        <v>779</v>
      </c>
      <c r="E3" s="364"/>
    </row>
    <row r="4" spans="1:5" ht="15" thickBot="1">
      <c r="A4" s="369" t="s">
        <v>783</v>
      </c>
      <c r="B4" s="49">
        <v>4.8</v>
      </c>
      <c r="C4" s="49">
        <v>6</v>
      </c>
      <c r="D4" s="49">
        <v>4.95</v>
      </c>
      <c r="E4" s="49">
        <v>4.2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2775-01EC-4E45-89A7-EFF6DF75CE32}">
  <dimension ref="A1:M130"/>
  <sheetViews>
    <sheetView topLeftCell="A42" zoomScale="85" zoomScaleNormal="85" workbookViewId="0">
      <selection activeCell="H61" sqref="H61"/>
    </sheetView>
  </sheetViews>
  <sheetFormatPr defaultRowHeight="14.4"/>
  <cols>
    <col min="1" max="1" width="58.5546875" customWidth="1"/>
    <col min="2" max="2" width="37.88671875" bestFit="1" customWidth="1"/>
    <col min="3" max="3" width="17.5546875" bestFit="1" customWidth="1"/>
    <col min="4" max="4" width="21.5546875" bestFit="1" customWidth="1"/>
    <col min="5" max="5" width="20.88671875" bestFit="1" customWidth="1"/>
    <col min="6" max="6" width="15.77734375" bestFit="1" customWidth="1"/>
    <col min="7" max="7" width="52.44140625" bestFit="1" customWidth="1"/>
    <col min="8" max="8" width="22.6640625" bestFit="1" customWidth="1"/>
    <col min="9" max="9" width="10.33203125" bestFit="1" customWidth="1"/>
    <col min="10" max="10" width="18.88671875" bestFit="1" customWidth="1"/>
    <col min="11" max="14" width="10.33203125" bestFit="1" customWidth="1"/>
  </cols>
  <sheetData>
    <row r="1" spans="1:9">
      <c r="A1" s="217">
        <v>45971</v>
      </c>
    </row>
    <row r="2" spans="1:9">
      <c r="A2" s="84" t="s">
        <v>186</v>
      </c>
      <c r="B2" s="84" t="s">
        <v>190</v>
      </c>
      <c r="C2" s="84" t="s">
        <v>179</v>
      </c>
      <c r="D2" s="84" t="s">
        <v>195</v>
      </c>
    </row>
    <row r="3" spans="1:9">
      <c r="A3" s="84" t="s">
        <v>187</v>
      </c>
      <c r="B3" s="16" t="s">
        <v>191</v>
      </c>
      <c r="C3" s="30">
        <v>425</v>
      </c>
      <c r="D3" s="30">
        <f>3*C3</f>
        <v>1275</v>
      </c>
    </row>
    <row r="4" spans="1:9">
      <c r="A4" s="84" t="s">
        <v>187</v>
      </c>
      <c r="B4" s="16" t="s">
        <v>192</v>
      </c>
      <c r="C4" s="30">
        <v>390</v>
      </c>
      <c r="D4" s="30">
        <f>3*C4</f>
        <v>1170</v>
      </c>
    </row>
    <row r="5" spans="1:9">
      <c r="A5" s="84" t="s">
        <v>188</v>
      </c>
      <c r="B5" s="16" t="s">
        <v>193</v>
      </c>
      <c r="C5" s="30">
        <v>361.17</v>
      </c>
      <c r="D5" s="30">
        <f>3*C5</f>
        <v>1083.51</v>
      </c>
    </row>
    <row r="6" spans="1:9">
      <c r="A6" s="84" t="s">
        <v>189</v>
      </c>
      <c r="B6" s="16" t="s">
        <v>194</v>
      </c>
      <c r="C6" s="30">
        <v>249</v>
      </c>
      <c r="D6" s="30">
        <f>3*C6</f>
        <v>747</v>
      </c>
    </row>
    <row r="8" spans="1:9">
      <c r="A8" s="217">
        <v>45971</v>
      </c>
    </row>
    <row r="9" spans="1:9">
      <c r="A9" s="84" t="s">
        <v>200</v>
      </c>
      <c r="B9" s="84" t="s">
        <v>190</v>
      </c>
      <c r="C9" s="84" t="s">
        <v>179</v>
      </c>
      <c r="D9" s="84" t="s">
        <v>201</v>
      </c>
    </row>
    <row r="10" spans="1:9">
      <c r="A10" s="84" t="s">
        <v>204</v>
      </c>
      <c r="B10" s="16" t="s">
        <v>203</v>
      </c>
      <c r="C10" s="30">
        <v>379</v>
      </c>
      <c r="D10" s="30">
        <f>6*C10</f>
        <v>2274</v>
      </c>
      <c r="F10" t="s">
        <v>206</v>
      </c>
      <c r="G10" t="s">
        <v>207</v>
      </c>
      <c r="H10" t="s">
        <v>208</v>
      </c>
    </row>
    <row r="11" spans="1:9">
      <c r="A11" s="84" t="s">
        <v>205</v>
      </c>
      <c r="B11" s="16" t="s">
        <v>193</v>
      </c>
      <c r="C11" s="30">
        <v>315.16000000000003</v>
      </c>
      <c r="D11" s="30">
        <f>6*C11</f>
        <v>1890.96</v>
      </c>
    </row>
    <row r="12" spans="1:9">
      <c r="A12" s="84" t="s">
        <v>202</v>
      </c>
      <c r="B12" s="16" t="s">
        <v>203</v>
      </c>
      <c r="C12" s="30">
        <v>350</v>
      </c>
      <c r="D12" s="30">
        <f>6*C12</f>
        <v>2100</v>
      </c>
    </row>
    <row r="13" spans="1:9">
      <c r="A13" s="117"/>
      <c r="C13" s="118"/>
      <c r="D13" s="118"/>
    </row>
    <row r="14" spans="1:9">
      <c r="A14" s="797" t="s">
        <v>279</v>
      </c>
      <c r="B14" s="101" t="s">
        <v>283</v>
      </c>
      <c r="C14" s="101" t="s">
        <v>284</v>
      </c>
      <c r="D14" s="101" t="s">
        <v>285</v>
      </c>
      <c r="E14" s="101" t="s">
        <v>187</v>
      </c>
      <c r="G14" s="119"/>
      <c r="H14" s="119"/>
      <c r="I14" s="119"/>
    </row>
    <row r="15" spans="1:9">
      <c r="A15" s="797"/>
      <c r="B15" s="101" t="s">
        <v>288</v>
      </c>
      <c r="C15" s="101" t="s">
        <v>287</v>
      </c>
      <c r="D15" s="101" t="s">
        <v>286</v>
      </c>
      <c r="E15" s="101" t="s">
        <v>289</v>
      </c>
      <c r="G15" s="101" t="s">
        <v>490</v>
      </c>
    </row>
    <row r="16" spans="1:9">
      <c r="A16" s="101" t="s">
        <v>280</v>
      </c>
      <c r="B16" s="30">
        <v>3099</v>
      </c>
      <c r="C16" s="30">
        <v>3898</v>
      </c>
      <c r="D16" s="30">
        <v>3399</v>
      </c>
      <c r="E16" s="30">
        <v>2790</v>
      </c>
      <c r="G16" s="101" t="s">
        <v>739</v>
      </c>
    </row>
    <row r="17" spans="1:13">
      <c r="A17" s="101" t="s">
        <v>281</v>
      </c>
      <c r="B17" s="30">
        <v>2847.1</v>
      </c>
      <c r="C17" s="30">
        <v>3698</v>
      </c>
      <c r="D17" s="30">
        <v>3450</v>
      </c>
      <c r="E17" s="30">
        <v>2190</v>
      </c>
      <c r="G17" s="101" t="s">
        <v>914</v>
      </c>
    </row>
    <row r="18" spans="1:13">
      <c r="A18" s="101" t="s">
        <v>282</v>
      </c>
      <c r="B18" s="30">
        <v>890.92</v>
      </c>
      <c r="C18" s="30">
        <v>698</v>
      </c>
      <c r="D18" s="30">
        <v>1318</v>
      </c>
      <c r="E18" s="30">
        <v>938</v>
      </c>
      <c r="G18" s="101" t="s">
        <v>488</v>
      </c>
    </row>
    <row r="19" spans="1:13">
      <c r="A19" s="120" t="s">
        <v>260</v>
      </c>
      <c r="B19" s="121">
        <f>B16+B17+B18</f>
        <v>6837.02</v>
      </c>
      <c r="C19" s="121">
        <f>C16+C17+C18</f>
        <v>8294</v>
      </c>
      <c r="D19" s="121">
        <f>D16+D17+D18</f>
        <v>8167</v>
      </c>
      <c r="E19" s="121">
        <f>E16+E17+E18</f>
        <v>5918</v>
      </c>
      <c r="G19" s="72"/>
    </row>
    <row r="20" spans="1:13">
      <c r="B20" s="14" t="s">
        <v>290</v>
      </c>
      <c r="G20" s="72"/>
    </row>
    <row r="21" spans="1:13">
      <c r="L21" s="49"/>
      <c r="M21" s="49"/>
    </row>
    <row r="22" spans="1:13">
      <c r="A22" s="930" t="s">
        <v>481</v>
      </c>
      <c r="B22" s="931" t="s">
        <v>189</v>
      </c>
      <c r="C22" s="931" t="s">
        <v>302</v>
      </c>
      <c r="D22" s="931" t="s">
        <v>303</v>
      </c>
      <c r="E22" s="931" t="s">
        <v>270</v>
      </c>
      <c r="L22" s="49"/>
      <c r="M22" s="49"/>
    </row>
    <row r="23" spans="1:13">
      <c r="A23" s="930"/>
      <c r="B23" s="932"/>
      <c r="C23" s="932"/>
      <c r="D23" s="932"/>
      <c r="E23" s="932"/>
      <c r="L23" s="49"/>
      <c r="M23" s="49"/>
    </row>
    <row r="24" spans="1:13">
      <c r="A24" s="218" t="s">
        <v>296</v>
      </c>
      <c r="B24" s="30">
        <v>70</v>
      </c>
      <c r="C24" s="30">
        <v>32</v>
      </c>
      <c r="D24" s="30"/>
      <c r="E24" s="16"/>
      <c r="L24" s="49"/>
      <c r="M24" s="49"/>
    </row>
    <row r="25" spans="1:13">
      <c r="A25" s="218" t="s">
        <v>297</v>
      </c>
      <c r="B25" s="30">
        <v>70</v>
      </c>
      <c r="C25" s="30">
        <v>22</v>
      </c>
      <c r="D25" s="30">
        <v>108</v>
      </c>
      <c r="E25" s="16"/>
      <c r="L25" s="49"/>
      <c r="M25" s="49"/>
    </row>
    <row r="26" spans="1:13">
      <c r="A26" s="218" t="s">
        <v>298</v>
      </c>
      <c r="B26" s="30">
        <v>87</v>
      </c>
      <c r="C26" s="30">
        <v>78</v>
      </c>
      <c r="D26" s="30">
        <v>115.9</v>
      </c>
      <c r="E26" s="16"/>
      <c r="L26" s="49"/>
      <c r="M26" s="49"/>
    </row>
    <row r="27" spans="1:13">
      <c r="A27" s="218" t="s">
        <v>299</v>
      </c>
      <c r="B27" s="30">
        <v>165</v>
      </c>
      <c r="C27" s="30">
        <v>175</v>
      </c>
      <c r="D27" s="30">
        <v>210</v>
      </c>
      <c r="E27" s="16"/>
      <c r="L27" s="49"/>
      <c r="M27" s="49"/>
    </row>
    <row r="28" spans="1:13">
      <c r="A28" s="218" t="s">
        <v>300</v>
      </c>
      <c r="B28" s="30">
        <v>70</v>
      </c>
      <c r="C28" s="30">
        <v>36</v>
      </c>
      <c r="D28" s="30">
        <v>70</v>
      </c>
      <c r="E28" s="30">
        <v>192</v>
      </c>
      <c r="L28" s="49"/>
      <c r="M28" s="49"/>
    </row>
    <row r="29" spans="1:13">
      <c r="A29" s="218" t="s">
        <v>301</v>
      </c>
      <c r="B29" s="16"/>
      <c r="C29" s="30">
        <v>130</v>
      </c>
      <c r="D29" s="30"/>
      <c r="E29" s="16"/>
      <c r="L29" s="49"/>
      <c r="M29" s="49"/>
    </row>
    <row r="30" spans="1:13">
      <c r="A30" s="120" t="s">
        <v>260</v>
      </c>
      <c r="B30" s="16"/>
      <c r="C30" s="16"/>
      <c r="D30" s="16"/>
      <c r="E30" s="16"/>
      <c r="L30" s="49"/>
      <c r="M30" s="49"/>
    </row>
    <row r="31" spans="1:13">
      <c r="B31" s="219">
        <f>B24+B25+B26+B27+B28+B29+B30</f>
        <v>462</v>
      </c>
      <c r="C31" s="219">
        <f>C24+C25+C26+C27+C28+C29+C30</f>
        <v>473</v>
      </c>
      <c r="D31" s="219">
        <f>D24+D25+D26+D27+D28+D29+D30</f>
        <v>503.9</v>
      </c>
      <c r="E31" s="219">
        <f>E24+E25+E26+E27+E28+E29+E30</f>
        <v>192</v>
      </c>
    </row>
    <row r="32" spans="1:13">
      <c r="C32" s="14"/>
    </row>
    <row r="34" spans="1:6">
      <c r="A34" s="926">
        <v>45996</v>
      </c>
      <c r="B34" s="928" t="s">
        <v>411</v>
      </c>
      <c r="C34" s="101" t="s">
        <v>283</v>
      </c>
      <c r="D34" s="101" t="s">
        <v>284</v>
      </c>
      <c r="E34" s="101" t="s">
        <v>285</v>
      </c>
      <c r="F34" s="101" t="s">
        <v>187</v>
      </c>
    </row>
    <row r="35" spans="1:6">
      <c r="A35" s="927"/>
      <c r="B35" s="929"/>
      <c r="C35" s="101" t="s">
        <v>288</v>
      </c>
      <c r="D35" s="101" t="s">
        <v>287</v>
      </c>
      <c r="E35" s="101" t="s">
        <v>286</v>
      </c>
      <c r="F35" s="101" t="s">
        <v>289</v>
      </c>
    </row>
    <row r="36" spans="1:6">
      <c r="A36" s="101" t="s">
        <v>409</v>
      </c>
      <c r="B36" s="101">
        <v>6</v>
      </c>
      <c r="C36" s="30">
        <v>1901.4</v>
      </c>
      <c r="D36" s="30">
        <v>2399.2800000000002</v>
      </c>
      <c r="E36" s="30">
        <v>1919.4</v>
      </c>
      <c r="F36" s="30">
        <v>2214</v>
      </c>
    </row>
    <row r="37" spans="1:6">
      <c r="A37" s="101" t="s">
        <v>410</v>
      </c>
      <c r="B37" s="101">
        <v>3</v>
      </c>
      <c r="C37" s="30">
        <v>1449.95</v>
      </c>
      <c r="D37" s="30">
        <v>1160.6400000000001</v>
      </c>
      <c r="E37" s="30">
        <v>987</v>
      </c>
      <c r="F37" s="30">
        <v>1347</v>
      </c>
    </row>
    <row r="38" spans="1:6">
      <c r="A38" s="935" t="s">
        <v>260</v>
      </c>
      <c r="B38" s="936"/>
      <c r="C38" s="121">
        <f>C36+C37</f>
        <v>3351.3500000000004</v>
      </c>
      <c r="D38" s="121">
        <f>D36+D37</f>
        <v>3559.92</v>
      </c>
      <c r="E38" s="121">
        <f>E36+E37</f>
        <v>2906.4</v>
      </c>
      <c r="F38" s="121">
        <f>F36+F37</f>
        <v>3561</v>
      </c>
    </row>
    <row r="39" spans="1:6">
      <c r="C39" t="s">
        <v>412</v>
      </c>
    </row>
    <row r="40" spans="1:6">
      <c r="C40" s="165"/>
    </row>
    <row r="41" spans="1:6" ht="15" thickBot="1"/>
    <row r="42" spans="1:6" ht="15" thickBot="1">
      <c r="A42" s="168" t="s">
        <v>419</v>
      </c>
      <c r="B42" s="150" t="s">
        <v>295</v>
      </c>
      <c r="C42" s="166" t="s">
        <v>271</v>
      </c>
      <c r="D42" s="166" t="s">
        <v>420</v>
      </c>
      <c r="E42" s="167" t="s">
        <v>421</v>
      </c>
    </row>
    <row r="43" spans="1:6">
      <c r="A43" s="169" t="s">
        <v>414</v>
      </c>
      <c r="B43" s="49">
        <v>41</v>
      </c>
      <c r="C43" s="49" t="s">
        <v>226</v>
      </c>
      <c r="D43" s="49">
        <v>80</v>
      </c>
      <c r="E43" s="49">
        <v>72.5</v>
      </c>
    </row>
    <row r="44" spans="1:6">
      <c r="A44" s="169" t="s">
        <v>415</v>
      </c>
      <c r="B44" s="49">
        <v>30</v>
      </c>
      <c r="C44" s="49" t="s">
        <v>226</v>
      </c>
      <c r="D44" s="49">
        <v>95</v>
      </c>
      <c r="E44" s="49">
        <v>72.5</v>
      </c>
    </row>
    <row r="45" spans="1:6">
      <c r="A45" s="169" t="s">
        <v>418</v>
      </c>
      <c r="B45" s="49" t="s">
        <v>226</v>
      </c>
      <c r="C45" s="49" t="s">
        <v>226</v>
      </c>
      <c r="D45" s="49">
        <v>105</v>
      </c>
      <c r="E45" s="49">
        <v>99</v>
      </c>
    </row>
    <row r="46" spans="1:6">
      <c r="A46" s="169" t="s">
        <v>416</v>
      </c>
      <c r="B46" s="49">
        <v>41</v>
      </c>
      <c r="C46" s="49" t="s">
        <v>226</v>
      </c>
      <c r="D46" s="49">
        <v>80</v>
      </c>
      <c r="E46" s="49">
        <v>54.7</v>
      </c>
    </row>
    <row r="47" spans="1:6" ht="15" thickBot="1">
      <c r="A47" s="170" t="s">
        <v>417</v>
      </c>
      <c r="B47" s="49">
        <v>60</v>
      </c>
      <c r="C47" s="49" t="s">
        <v>226</v>
      </c>
      <c r="D47" s="49">
        <v>105</v>
      </c>
      <c r="E47" s="49">
        <v>80.650000000000006</v>
      </c>
    </row>
    <row r="48" spans="1:6" ht="15" thickBot="1">
      <c r="A48" s="171" t="s">
        <v>260</v>
      </c>
      <c r="B48" s="172">
        <f>B43+B44+B46+B47</f>
        <v>172</v>
      </c>
      <c r="C48" s="173" t="e">
        <f>C43+C44+C45+C46+C47</f>
        <v>#VALUE!</v>
      </c>
      <c r="D48" s="173">
        <f>D43+D44+D45+D46+D47</f>
        <v>465</v>
      </c>
      <c r="E48" s="174">
        <f>E43+E44+E45+E46+E47</f>
        <v>379.35</v>
      </c>
    </row>
    <row r="49" spans="1:7">
      <c r="D49" s="179" t="s">
        <v>430</v>
      </c>
    </row>
    <row r="50" spans="1:7" ht="15" thickBot="1"/>
    <row r="51" spans="1:7" ht="15" thickBot="1">
      <c r="A51" s="180" t="s">
        <v>440</v>
      </c>
      <c r="B51" s="150" t="s">
        <v>295</v>
      </c>
      <c r="C51" s="166" t="s">
        <v>271</v>
      </c>
      <c r="D51" s="166" t="s">
        <v>420</v>
      </c>
      <c r="E51" s="167" t="s">
        <v>421</v>
      </c>
      <c r="G51" s="240" t="s">
        <v>487</v>
      </c>
    </row>
    <row r="52" spans="1:7">
      <c r="A52" s="169" t="s">
        <v>431</v>
      </c>
      <c r="B52" s="49">
        <v>64</v>
      </c>
      <c r="C52" s="49">
        <v>84.58</v>
      </c>
      <c r="D52" s="49">
        <v>85</v>
      </c>
      <c r="E52" s="49">
        <v>52</v>
      </c>
      <c r="G52" s="238" t="s">
        <v>504</v>
      </c>
    </row>
    <row r="53" spans="1:7">
      <c r="A53" s="169" t="s">
        <v>432</v>
      </c>
      <c r="B53" s="49">
        <v>58</v>
      </c>
      <c r="C53" s="49" t="s">
        <v>226</v>
      </c>
      <c r="D53" s="49">
        <v>95</v>
      </c>
      <c r="E53" s="49">
        <v>79</v>
      </c>
      <c r="F53" s="237"/>
      <c r="G53" s="238" t="s">
        <v>505</v>
      </c>
    </row>
    <row r="54" spans="1:7" ht="15" thickBot="1">
      <c r="A54" s="169" t="s">
        <v>433</v>
      </c>
      <c r="B54" s="49">
        <v>17</v>
      </c>
      <c r="C54" s="49" t="s">
        <v>226</v>
      </c>
      <c r="D54" s="49">
        <v>54</v>
      </c>
      <c r="E54" s="49">
        <v>59</v>
      </c>
      <c r="F54" s="237"/>
      <c r="G54" s="239" t="s">
        <v>506</v>
      </c>
    </row>
    <row r="55" spans="1:7">
      <c r="A55" s="169" t="s">
        <v>434</v>
      </c>
      <c r="B55" s="49">
        <v>83</v>
      </c>
      <c r="C55" s="49">
        <v>132.76</v>
      </c>
      <c r="D55" s="49">
        <v>138</v>
      </c>
      <c r="E55" s="49">
        <v>106.5</v>
      </c>
    </row>
    <row r="56" spans="1:7">
      <c r="A56" s="169" t="s">
        <v>435</v>
      </c>
      <c r="B56" s="49">
        <v>63</v>
      </c>
      <c r="C56" s="49" t="s">
        <v>226</v>
      </c>
      <c r="D56" s="49">
        <v>73</v>
      </c>
      <c r="E56" s="49">
        <v>88.9</v>
      </c>
    </row>
    <row r="57" spans="1:7" ht="15" thickBot="1">
      <c r="A57" s="169" t="s">
        <v>436</v>
      </c>
      <c r="B57" s="49">
        <v>125</v>
      </c>
      <c r="C57" s="49">
        <v>184.95</v>
      </c>
      <c r="D57" s="49">
        <v>187</v>
      </c>
      <c r="E57" s="49">
        <v>166</v>
      </c>
    </row>
    <row r="58" spans="1:7" ht="15" thickBot="1">
      <c r="A58" s="169" t="s">
        <v>437</v>
      </c>
      <c r="B58" s="49">
        <v>81</v>
      </c>
      <c r="C58" s="49" t="s">
        <v>226</v>
      </c>
      <c r="D58" s="49">
        <v>105</v>
      </c>
      <c r="E58" s="49">
        <v>98.25</v>
      </c>
      <c r="F58" s="181" t="s">
        <v>441</v>
      </c>
      <c r="G58" s="182" t="s">
        <v>442</v>
      </c>
    </row>
    <row r="59" spans="1:7">
      <c r="A59" s="169" t="s">
        <v>438</v>
      </c>
      <c r="B59" s="49">
        <v>36</v>
      </c>
      <c r="C59" s="49" t="s">
        <v>226</v>
      </c>
      <c r="D59" s="49">
        <v>78</v>
      </c>
      <c r="E59" s="49">
        <v>43.5</v>
      </c>
    </row>
    <row r="60" spans="1:7" ht="15" thickBot="1">
      <c r="A60" s="170" t="s">
        <v>439</v>
      </c>
      <c r="B60" s="49">
        <v>149</v>
      </c>
      <c r="C60" s="49" t="s">
        <v>226</v>
      </c>
      <c r="D60" s="49">
        <v>162</v>
      </c>
      <c r="E60" s="49">
        <v>210.75</v>
      </c>
    </row>
    <row r="61" spans="1:7" ht="15" thickBot="1">
      <c r="A61" s="171" t="s">
        <v>260</v>
      </c>
      <c r="B61" s="174">
        <f>B52+B53+B54+B55+B56+B57+B58+B59+B60</f>
        <v>676</v>
      </c>
      <c r="C61" s="174">
        <f>C52+C55+C57</f>
        <v>402.28999999999996</v>
      </c>
      <c r="D61" s="174">
        <f>D52+D53+D54+D55+D56+D57+D58+D59+D60</f>
        <v>977</v>
      </c>
      <c r="E61" s="174">
        <f>E52+E53+E54+E55+E56+E57+E58+E59+E60</f>
        <v>903.9</v>
      </c>
    </row>
    <row r="62" spans="1:7">
      <c r="E62" s="14"/>
    </row>
    <row r="63" spans="1:7" ht="15" thickBot="1">
      <c r="A63" s="117"/>
    </row>
    <row r="64" spans="1:7" ht="15" thickBot="1">
      <c r="A64" s="193" t="s">
        <v>486</v>
      </c>
      <c r="B64" s="150" t="s">
        <v>295</v>
      </c>
      <c r="C64" s="166" t="s">
        <v>271</v>
      </c>
      <c r="D64" s="166" t="s">
        <v>420</v>
      </c>
      <c r="E64" s="167" t="s">
        <v>421</v>
      </c>
      <c r="F64" s="166" t="s">
        <v>187</v>
      </c>
      <c r="G64" s="240" t="s">
        <v>487</v>
      </c>
    </row>
    <row r="65" spans="1:7">
      <c r="A65" s="192" t="s">
        <v>482</v>
      </c>
      <c r="B65" s="220"/>
      <c r="C65" s="220"/>
      <c r="D65" s="222">
        <v>44</v>
      </c>
      <c r="E65" s="220"/>
      <c r="F65" s="49">
        <v>57</v>
      </c>
      <c r="G65" s="238" t="s">
        <v>296</v>
      </c>
    </row>
    <row r="66" spans="1:7">
      <c r="A66" s="192" t="s">
        <v>483</v>
      </c>
      <c r="B66" s="221"/>
      <c r="C66" s="220"/>
      <c r="D66" s="221">
        <v>36</v>
      </c>
      <c r="E66" s="221"/>
      <c r="F66" s="49">
        <v>38</v>
      </c>
      <c r="G66" s="238" t="s">
        <v>484</v>
      </c>
    </row>
    <row r="67" spans="1:7" ht="15" thickBot="1">
      <c r="A67" s="192" t="s">
        <v>296</v>
      </c>
      <c r="B67" s="223" t="s">
        <v>487</v>
      </c>
      <c r="C67" s="223" t="s">
        <v>226</v>
      </c>
      <c r="D67" s="223" t="s">
        <v>226</v>
      </c>
      <c r="E67" s="223" t="s">
        <v>226</v>
      </c>
      <c r="F67" s="223" t="s">
        <v>226</v>
      </c>
      <c r="G67" s="239" t="s">
        <v>485</v>
      </c>
    </row>
    <row r="68" spans="1:7">
      <c r="A68" s="192" t="s">
        <v>484</v>
      </c>
      <c r="B68" s="223" t="s">
        <v>487</v>
      </c>
      <c r="C68" s="223" t="s">
        <v>226</v>
      </c>
      <c r="D68" s="223" t="s">
        <v>226</v>
      </c>
      <c r="E68" s="223" t="s">
        <v>226</v>
      </c>
      <c r="F68" s="223" t="s">
        <v>226</v>
      </c>
    </row>
    <row r="69" spans="1:7" ht="15" thickBot="1">
      <c r="A69" s="192" t="s">
        <v>485</v>
      </c>
      <c r="B69" s="223" t="s">
        <v>487</v>
      </c>
      <c r="C69" s="223" t="s">
        <v>226</v>
      </c>
      <c r="D69" s="223" t="s">
        <v>226</v>
      </c>
      <c r="E69" s="223" t="s">
        <v>226</v>
      </c>
      <c r="F69" s="223" t="s">
        <v>226</v>
      </c>
    </row>
    <row r="70" spans="1:7" ht="15" thickBot="1">
      <c r="A70" s="194" t="s">
        <v>260</v>
      </c>
      <c r="B70" s="49">
        <f>B65+B66</f>
        <v>0</v>
      </c>
      <c r="C70" s="49">
        <f>C65+C66</f>
        <v>0</v>
      </c>
      <c r="D70" s="49">
        <f>D65+D66</f>
        <v>80</v>
      </c>
      <c r="E70" s="49">
        <f>E65+E66</f>
        <v>0</v>
      </c>
      <c r="F70" s="49">
        <f>F66+F65</f>
        <v>95</v>
      </c>
    </row>
    <row r="71" spans="1:7">
      <c r="F71" s="14"/>
    </row>
    <row r="72" spans="1:7" ht="15" thickBot="1"/>
    <row r="73" spans="1:7" ht="15" thickBot="1">
      <c r="A73" s="193" t="s">
        <v>461</v>
      </c>
      <c r="B73" s="150" t="s">
        <v>295</v>
      </c>
      <c r="C73" s="166" t="s">
        <v>271</v>
      </c>
      <c r="D73" s="166" t="s">
        <v>420</v>
      </c>
      <c r="E73" s="167" t="s">
        <v>421</v>
      </c>
      <c r="F73" s="167" t="s">
        <v>187</v>
      </c>
    </row>
    <row r="74" spans="1:7">
      <c r="A74" s="195" t="s">
        <v>455</v>
      </c>
      <c r="B74" s="199">
        <v>88</v>
      </c>
      <c r="C74" s="199">
        <v>168.97</v>
      </c>
      <c r="D74" s="199">
        <v>142</v>
      </c>
      <c r="E74" s="199">
        <v>119</v>
      </c>
      <c r="F74" s="199">
        <v>132</v>
      </c>
    </row>
    <row r="75" spans="1:7">
      <c r="A75" s="195" t="s">
        <v>456</v>
      </c>
      <c r="B75" s="49">
        <v>34</v>
      </c>
      <c r="C75" s="49"/>
      <c r="D75" s="49">
        <v>49</v>
      </c>
      <c r="E75" s="49">
        <v>45.25</v>
      </c>
      <c r="F75" s="49">
        <v>59</v>
      </c>
    </row>
    <row r="76" spans="1:7">
      <c r="A76" s="195" t="s">
        <v>457</v>
      </c>
      <c r="B76" s="49">
        <v>90</v>
      </c>
      <c r="C76" s="49">
        <v>82.92</v>
      </c>
      <c r="D76" s="49">
        <v>128</v>
      </c>
      <c r="E76" s="49">
        <v>126</v>
      </c>
      <c r="F76" s="49">
        <v>108</v>
      </c>
    </row>
    <row r="77" spans="1:7">
      <c r="A77" s="195" t="s">
        <v>458</v>
      </c>
      <c r="B77" s="49">
        <v>129</v>
      </c>
      <c r="C77" s="49">
        <v>232.18</v>
      </c>
      <c r="D77" s="49">
        <v>207</v>
      </c>
      <c r="E77" s="49">
        <v>189</v>
      </c>
      <c r="F77" s="49">
        <v>145</v>
      </c>
    </row>
    <row r="78" spans="1:7">
      <c r="A78" s="195" t="s">
        <v>460</v>
      </c>
      <c r="B78" s="49">
        <v>83</v>
      </c>
      <c r="C78" s="49"/>
      <c r="D78" s="49">
        <v>90</v>
      </c>
      <c r="E78" s="49">
        <v>141</v>
      </c>
      <c r="F78" s="49">
        <v>109</v>
      </c>
    </row>
    <row r="79" spans="1:7">
      <c r="A79" s="195" t="s">
        <v>462</v>
      </c>
      <c r="B79" s="197"/>
      <c r="C79" s="49">
        <v>83.66</v>
      </c>
      <c r="D79" s="200">
        <v>158</v>
      </c>
      <c r="E79" s="49">
        <v>153</v>
      </c>
      <c r="F79" s="200">
        <v>189</v>
      </c>
    </row>
    <row r="80" spans="1:7">
      <c r="A80" s="195" t="s">
        <v>459</v>
      </c>
      <c r="B80" s="49">
        <v>75</v>
      </c>
      <c r="C80" s="49"/>
      <c r="D80" s="49">
        <v>108</v>
      </c>
      <c r="E80" s="49">
        <v>108</v>
      </c>
      <c r="F80" s="49">
        <v>120</v>
      </c>
    </row>
    <row r="81" spans="1:6">
      <c r="A81" s="195" t="s">
        <v>453</v>
      </c>
      <c r="B81" s="49">
        <v>73</v>
      </c>
      <c r="C81" s="49"/>
      <c r="D81" s="49">
        <v>76</v>
      </c>
      <c r="E81" s="49">
        <v>71</v>
      </c>
      <c r="F81" s="49">
        <v>98</v>
      </c>
    </row>
    <row r="82" spans="1:6" ht="15" thickBot="1">
      <c r="A82" s="201" t="s">
        <v>454</v>
      </c>
      <c r="B82" s="214" t="s">
        <v>463</v>
      </c>
      <c r="C82" s="214"/>
      <c r="D82" s="214"/>
      <c r="E82" s="214"/>
      <c r="F82" s="214"/>
    </row>
    <row r="83" spans="1:6" ht="15" thickBot="1">
      <c r="A83" s="196" t="s">
        <v>260</v>
      </c>
      <c r="B83" s="198">
        <f>B74+B75+B76+B77+B78+B79+B80+B81</f>
        <v>572</v>
      </c>
      <c r="C83" s="198">
        <f>C74+C75+C76+C77+C78+C79+C80+C81</f>
        <v>567.73</v>
      </c>
      <c r="D83" s="198">
        <f>D74+D75+D76+D77+D78+D79+D80+D81</f>
        <v>958</v>
      </c>
      <c r="E83" s="198">
        <f>E74+E75+E76+E77+E78+E79+E80+E81</f>
        <v>952.25</v>
      </c>
      <c r="F83" s="198">
        <f>F74+F75+F76+F77+F78+F79+F80+F81</f>
        <v>960</v>
      </c>
    </row>
    <row r="84" spans="1:6" ht="13.8" customHeight="1">
      <c r="D84" s="165"/>
    </row>
    <row r="85" spans="1:6" ht="15" thickBot="1"/>
    <row r="86" spans="1:6">
      <c r="A86" s="939">
        <v>46020</v>
      </c>
      <c r="B86" s="937" t="s">
        <v>221</v>
      </c>
      <c r="C86" s="32" t="s">
        <v>283</v>
      </c>
      <c r="D86" s="32" t="s">
        <v>284</v>
      </c>
      <c r="E86" s="32" t="s">
        <v>285</v>
      </c>
      <c r="F86" s="33" t="s">
        <v>187</v>
      </c>
    </row>
    <row r="87" spans="1:6" ht="15" thickBot="1">
      <c r="A87" s="940"/>
      <c r="B87" s="938"/>
      <c r="C87" s="224" t="s">
        <v>288</v>
      </c>
      <c r="D87" s="224" t="s">
        <v>287</v>
      </c>
      <c r="E87" s="224" t="s">
        <v>286</v>
      </c>
      <c r="F87" s="225" t="s">
        <v>289</v>
      </c>
    </row>
    <row r="88" spans="1:6">
      <c r="A88" s="46" t="s">
        <v>488</v>
      </c>
      <c r="B88" s="1" t="s">
        <v>493</v>
      </c>
      <c r="C88" s="49">
        <v>429</v>
      </c>
      <c r="D88" s="49"/>
      <c r="E88" s="49"/>
      <c r="F88" s="49"/>
    </row>
    <row r="89" spans="1:6">
      <c r="A89" s="46" t="s">
        <v>489</v>
      </c>
      <c r="B89" s="1" t="s">
        <v>492</v>
      </c>
      <c r="C89" s="49">
        <v>2609.91</v>
      </c>
      <c r="D89" s="49"/>
      <c r="E89" s="49"/>
      <c r="F89" s="49"/>
    </row>
    <row r="90" spans="1:6" ht="15" thickBot="1">
      <c r="A90" s="46" t="s">
        <v>490</v>
      </c>
      <c r="B90" s="1" t="s">
        <v>491</v>
      </c>
      <c r="C90" s="49">
        <v>1584.5</v>
      </c>
      <c r="D90" s="49"/>
      <c r="E90" s="49"/>
      <c r="F90" s="49"/>
    </row>
    <row r="91" spans="1:6" ht="15" thickBot="1">
      <c r="A91" s="933" t="s">
        <v>260</v>
      </c>
      <c r="B91" s="934"/>
      <c r="C91" s="267">
        <f>C88+C89+C90</f>
        <v>4623.41</v>
      </c>
    </row>
    <row r="92" spans="1:6">
      <c r="C92" s="14"/>
    </row>
    <row r="94" spans="1:6">
      <c r="A94" s="421">
        <v>46034</v>
      </c>
      <c r="B94" s="100" t="s">
        <v>609</v>
      </c>
      <c r="C94" s="100" t="s">
        <v>187</v>
      </c>
    </row>
    <row r="95" spans="1:6">
      <c r="A95" s="3" t="s">
        <v>608</v>
      </c>
      <c r="B95" s="30">
        <v>640</v>
      </c>
      <c r="C95" s="30">
        <v>620</v>
      </c>
    </row>
    <row r="96" spans="1:6">
      <c r="A96" s="16"/>
      <c r="B96" s="16"/>
      <c r="C96" s="422"/>
    </row>
    <row r="97" spans="1:4" ht="15" thickBot="1"/>
    <row r="98" spans="1:4" ht="15" thickBot="1">
      <c r="A98" s="262" t="s">
        <v>623</v>
      </c>
      <c r="B98" s="263" t="s">
        <v>271</v>
      </c>
      <c r="C98" s="263" t="s">
        <v>295</v>
      </c>
      <c r="D98" s="264" t="s">
        <v>625</v>
      </c>
    </row>
    <row r="99" spans="1:4">
      <c r="A99" s="261" t="s">
        <v>626</v>
      </c>
      <c r="B99" s="118">
        <v>31.63</v>
      </c>
      <c r="C99" s="118">
        <v>32</v>
      </c>
      <c r="D99" s="156">
        <v>40</v>
      </c>
    </row>
    <row r="100" spans="1:4" ht="15" thickBot="1">
      <c r="A100" s="63" t="s">
        <v>624</v>
      </c>
      <c r="B100" s="118">
        <v>108.37</v>
      </c>
      <c r="C100" s="118">
        <v>80</v>
      </c>
      <c r="D100" s="156">
        <v>105</v>
      </c>
    </row>
    <row r="101" spans="1:4" ht="15" thickBot="1">
      <c r="A101" s="265" t="s">
        <v>260</v>
      </c>
      <c r="B101" s="266">
        <f>B99+B100</f>
        <v>140</v>
      </c>
      <c r="C101" s="266">
        <f>C99+C100</f>
        <v>112</v>
      </c>
      <c r="D101" s="321">
        <f>D99+D100</f>
        <v>145</v>
      </c>
    </row>
    <row r="102" spans="1:4">
      <c r="A102" s="133"/>
      <c r="B102" s="14" t="s">
        <v>627</v>
      </c>
      <c r="D102" s="134"/>
    </row>
    <row r="103" spans="1:4">
      <c r="A103" s="322" t="s">
        <v>727</v>
      </c>
      <c r="B103" s="293" t="s">
        <v>271</v>
      </c>
      <c r="D103" s="134"/>
    </row>
    <row r="104" spans="1:4">
      <c r="A104" s="323" t="s">
        <v>564</v>
      </c>
      <c r="B104" s="318" t="s">
        <v>487</v>
      </c>
      <c r="D104" s="134"/>
    </row>
    <row r="105" spans="1:4">
      <c r="A105" s="324" t="s">
        <v>624</v>
      </c>
      <c r="B105" s="316">
        <v>108.37</v>
      </c>
      <c r="D105" s="134"/>
    </row>
    <row r="106" spans="1:4">
      <c r="A106" s="325"/>
      <c r="B106" s="317"/>
      <c r="D106" s="134"/>
    </row>
    <row r="107" spans="1:4">
      <c r="A107" s="326" t="s">
        <v>726</v>
      </c>
      <c r="B107" s="319" t="s">
        <v>271</v>
      </c>
      <c r="D107" s="134"/>
    </row>
    <row r="108" spans="1:4">
      <c r="A108" s="323" t="s">
        <v>538</v>
      </c>
      <c r="B108" s="318" t="s">
        <v>487</v>
      </c>
      <c r="D108" s="134"/>
    </row>
    <row r="109" spans="1:4">
      <c r="A109" s="323" t="s">
        <v>540</v>
      </c>
      <c r="B109" s="318" t="s">
        <v>487</v>
      </c>
      <c r="D109" s="134"/>
    </row>
    <row r="110" spans="1:4">
      <c r="A110" s="323" t="s">
        <v>634</v>
      </c>
      <c r="B110" s="30">
        <v>31.63</v>
      </c>
      <c r="D110" s="134"/>
    </row>
    <row r="111" spans="1:4" ht="15" thickBot="1">
      <c r="A111" s="135"/>
      <c r="B111" s="75"/>
      <c r="C111" s="75"/>
      <c r="D111" s="136"/>
    </row>
    <row r="113" spans="1:9" ht="15" thickBot="1"/>
    <row r="114" spans="1:9" ht="15.6">
      <c r="A114" s="348" t="s">
        <v>772</v>
      </c>
      <c r="B114" s="350" t="s">
        <v>221</v>
      </c>
      <c r="C114" s="351" t="s">
        <v>638</v>
      </c>
      <c r="D114" s="327" t="s">
        <v>295</v>
      </c>
      <c r="E114" s="328" t="s">
        <v>271</v>
      </c>
      <c r="F114" s="328" t="s">
        <v>420</v>
      </c>
      <c r="G114" s="329" t="s">
        <v>421</v>
      </c>
      <c r="H114" s="329" t="s">
        <v>187</v>
      </c>
    </row>
    <row r="115" spans="1:9">
      <c r="A115" s="84" t="s">
        <v>770</v>
      </c>
      <c r="B115" s="3">
        <v>1</v>
      </c>
      <c r="C115" s="352">
        <v>1483.46</v>
      </c>
      <c r="D115" s="115" t="s">
        <v>226</v>
      </c>
      <c r="E115" s="115" t="s">
        <v>226</v>
      </c>
      <c r="F115" s="30">
        <v>205</v>
      </c>
      <c r="G115" s="30">
        <v>244</v>
      </c>
      <c r="H115" s="30"/>
    </row>
    <row r="116" spans="1:9">
      <c r="A116" s="84" t="s">
        <v>771</v>
      </c>
      <c r="B116" s="3">
        <v>1</v>
      </c>
      <c r="C116" s="352">
        <v>678.71</v>
      </c>
      <c r="D116" s="30">
        <v>300</v>
      </c>
      <c r="E116" s="115" t="s">
        <v>226</v>
      </c>
      <c r="F116" s="30">
        <v>78</v>
      </c>
      <c r="G116" s="115" t="s">
        <v>226</v>
      </c>
      <c r="H116" s="30"/>
    </row>
    <row r="117" spans="1:9">
      <c r="A117" s="827" t="s">
        <v>260</v>
      </c>
      <c r="B117" s="828"/>
      <c r="C117" s="353">
        <f>C115+C116</f>
        <v>2162.17</v>
      </c>
      <c r="D117" s="346">
        <f>D116</f>
        <v>300</v>
      </c>
      <c r="E117" s="389" t="s">
        <v>226</v>
      </c>
      <c r="F117" s="346">
        <f>F115+F116</f>
        <v>283</v>
      </c>
      <c r="G117" s="346">
        <f>G115</f>
        <v>244</v>
      </c>
      <c r="H117" s="347"/>
    </row>
    <row r="124" spans="1:9">
      <c r="A124" s="826" t="s">
        <v>737</v>
      </c>
      <c r="B124" s="826" t="s">
        <v>411</v>
      </c>
      <c r="C124" s="293" t="s">
        <v>283</v>
      </c>
      <c r="D124" s="293" t="s">
        <v>284</v>
      </c>
      <c r="E124" s="293" t="s">
        <v>285</v>
      </c>
      <c r="F124" s="293" t="s">
        <v>740</v>
      </c>
      <c r="G124" s="293" t="s">
        <v>740</v>
      </c>
      <c r="H124" s="293" t="s">
        <v>750</v>
      </c>
    </row>
    <row r="125" spans="1:9">
      <c r="A125" s="826"/>
      <c r="B125" s="826"/>
      <c r="C125" s="293">
        <v>999571824</v>
      </c>
      <c r="D125" s="293" t="s">
        <v>287</v>
      </c>
      <c r="E125" s="293" t="s">
        <v>286</v>
      </c>
      <c r="F125" s="293" t="s">
        <v>741</v>
      </c>
      <c r="G125" s="293" t="s">
        <v>768</v>
      </c>
      <c r="H125" s="293" t="s">
        <v>751</v>
      </c>
    </row>
    <row r="126" spans="1:9">
      <c r="A126" s="3" t="s">
        <v>490</v>
      </c>
      <c r="B126" s="100" t="s">
        <v>753</v>
      </c>
      <c r="C126" s="16">
        <v>339.22</v>
      </c>
      <c r="D126" s="16"/>
      <c r="E126" s="30">
        <v>339</v>
      </c>
      <c r="F126" s="16">
        <v>303.69</v>
      </c>
      <c r="G126" s="30">
        <v>2999.86</v>
      </c>
      <c r="H126" s="342">
        <v>334.41</v>
      </c>
    </row>
    <row r="127" spans="1:9">
      <c r="A127" s="3" t="s">
        <v>738</v>
      </c>
      <c r="B127" s="100" t="s">
        <v>753</v>
      </c>
      <c r="C127" s="16" t="s">
        <v>226</v>
      </c>
      <c r="D127" s="16"/>
      <c r="E127" s="100" t="s">
        <v>226</v>
      </c>
      <c r="F127" s="16">
        <v>357.33</v>
      </c>
      <c r="G127" s="30">
        <v>3550.06</v>
      </c>
      <c r="H127" s="342">
        <v>668.13</v>
      </c>
      <c r="I127" t="s">
        <v>752</v>
      </c>
    </row>
    <row r="128" spans="1:9">
      <c r="A128" s="3" t="s">
        <v>739</v>
      </c>
      <c r="B128" s="100" t="s">
        <v>753</v>
      </c>
      <c r="C128" s="16">
        <v>327.36</v>
      </c>
      <c r="D128" s="16"/>
      <c r="E128" s="30">
        <v>345</v>
      </c>
      <c r="F128" s="16">
        <v>260.77999999999997</v>
      </c>
      <c r="G128" s="30">
        <v>2572.9</v>
      </c>
      <c r="H128" s="342">
        <v>417.54</v>
      </c>
    </row>
    <row r="129" spans="1:8">
      <c r="A129" s="3" t="s">
        <v>754</v>
      </c>
      <c r="B129" s="100" t="s">
        <v>753</v>
      </c>
      <c r="C129" s="16">
        <v>555.94000000000005</v>
      </c>
      <c r="D129" s="16"/>
      <c r="E129" s="100" t="s">
        <v>226</v>
      </c>
      <c r="F129" s="16">
        <v>283.72000000000003</v>
      </c>
      <c r="G129" s="30">
        <v>2754.69</v>
      </c>
      <c r="H129" s="342">
        <v>574.16</v>
      </c>
    </row>
    <row r="130" spans="1:8">
      <c r="A130" s="827" t="s">
        <v>260</v>
      </c>
      <c r="B130" s="828"/>
      <c r="C130" s="343">
        <f>C126+C128+C129</f>
        <v>1222.52</v>
      </c>
      <c r="D130" s="343"/>
      <c r="E130" s="344">
        <f>E126+E128</f>
        <v>684</v>
      </c>
      <c r="F130" s="343">
        <f>F126+F127+F128+F129</f>
        <v>1205.52</v>
      </c>
      <c r="G130" s="345">
        <f>G126+G127+G128+G129</f>
        <v>11877.51</v>
      </c>
      <c r="H130" s="345">
        <f>H126+H127+H128+H129</f>
        <v>1994.2399999999998</v>
      </c>
    </row>
  </sheetData>
  <mergeCells count="16">
    <mergeCell ref="C22:C23"/>
    <mergeCell ref="D22:D23"/>
    <mergeCell ref="E22:E23"/>
    <mergeCell ref="B86:B87"/>
    <mergeCell ref="A86:A87"/>
    <mergeCell ref="A130:B130"/>
    <mergeCell ref="A124:A125"/>
    <mergeCell ref="B124:B125"/>
    <mergeCell ref="A14:A15"/>
    <mergeCell ref="A34:A35"/>
    <mergeCell ref="B34:B35"/>
    <mergeCell ref="A22:A23"/>
    <mergeCell ref="B22:B23"/>
    <mergeCell ref="A91:B91"/>
    <mergeCell ref="A117:B117"/>
    <mergeCell ref="A38:B38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ACD8-D308-46F5-A3EF-A7E422E2350C}">
  <dimension ref="A1:K41"/>
  <sheetViews>
    <sheetView topLeftCell="A20" workbookViewId="0">
      <selection activeCell="B50" sqref="B50"/>
    </sheetView>
  </sheetViews>
  <sheetFormatPr defaultRowHeight="14.4"/>
  <cols>
    <col min="1" max="1" width="48.33203125" bestFit="1" customWidth="1"/>
    <col min="2" max="2" width="17.6640625" bestFit="1" customWidth="1"/>
    <col min="3" max="3" width="16.88671875" bestFit="1" customWidth="1"/>
    <col min="4" max="4" width="11.88671875" bestFit="1" customWidth="1"/>
    <col min="5" max="5" width="18.109375" bestFit="1" customWidth="1"/>
    <col min="6" max="6" width="14.44140625" bestFit="1" customWidth="1"/>
    <col min="7" max="7" width="50.109375" bestFit="1" customWidth="1"/>
    <col min="8" max="9" width="17.6640625" bestFit="1" customWidth="1"/>
    <col min="10" max="10" width="11.88671875" bestFit="1" customWidth="1"/>
    <col min="14" max="14" width="17.6640625" bestFit="1" customWidth="1"/>
  </cols>
  <sheetData>
    <row r="1" spans="1:11" ht="18.600000000000001" thickBot="1">
      <c r="A1" s="862" t="s">
        <v>509</v>
      </c>
      <c r="B1" s="862"/>
      <c r="C1" s="862"/>
      <c r="D1" s="862"/>
    </row>
    <row r="2" spans="1:11" ht="15" thickBot="1">
      <c r="A2" s="234" t="s">
        <v>497</v>
      </c>
      <c r="B2" s="235" t="s">
        <v>319</v>
      </c>
      <c r="C2" s="235" t="s">
        <v>496</v>
      </c>
      <c r="D2" s="236" t="s">
        <v>55</v>
      </c>
    </row>
    <row r="3" spans="1:11">
      <c r="A3" t="s">
        <v>503</v>
      </c>
      <c r="B3" t="s">
        <v>269</v>
      </c>
      <c r="C3" s="232" t="s">
        <v>502</v>
      </c>
      <c r="D3" s="233">
        <v>768</v>
      </c>
    </row>
    <row r="4" spans="1:11">
      <c r="A4" t="s">
        <v>500</v>
      </c>
      <c r="B4" t="s">
        <v>269</v>
      </c>
      <c r="C4" s="232" t="s">
        <v>501</v>
      </c>
      <c r="D4" s="233">
        <v>768</v>
      </c>
    </row>
    <row r="5" spans="1:11">
      <c r="A5" t="s">
        <v>498</v>
      </c>
      <c r="B5" t="s">
        <v>269</v>
      </c>
      <c r="C5" s="1" t="s">
        <v>499</v>
      </c>
      <c r="D5" s="233">
        <f>768*2</f>
        <v>1536</v>
      </c>
    </row>
    <row r="6" spans="1:11">
      <c r="A6" t="s">
        <v>494</v>
      </c>
      <c r="B6" t="s">
        <v>269</v>
      </c>
      <c r="C6" s="1" t="s">
        <v>495</v>
      </c>
      <c r="D6" s="233">
        <f>768*2</f>
        <v>1536</v>
      </c>
    </row>
    <row r="7" spans="1:11">
      <c r="A7" t="s">
        <v>508</v>
      </c>
      <c r="B7" t="s">
        <v>269</v>
      </c>
      <c r="C7" s="1" t="s">
        <v>507</v>
      </c>
      <c r="D7" s="49">
        <v>568</v>
      </c>
    </row>
    <row r="8" spans="1:11">
      <c r="A8" t="s">
        <v>604</v>
      </c>
      <c r="B8" t="s">
        <v>269</v>
      </c>
      <c r="C8" s="1" t="s">
        <v>544</v>
      </c>
      <c r="D8" s="233">
        <f>768*2</f>
        <v>1536</v>
      </c>
    </row>
    <row r="10" spans="1:11" ht="18.600000000000001" thickBot="1">
      <c r="A10" s="862" t="s">
        <v>510</v>
      </c>
      <c r="B10" s="862"/>
      <c r="C10" s="862"/>
      <c r="D10" s="862"/>
    </row>
    <row r="11" spans="1:11" ht="15" thickBot="1">
      <c r="A11" s="250" t="s">
        <v>511</v>
      </c>
      <c r="B11" s="941" t="s">
        <v>265</v>
      </c>
      <c r="C11" s="941" t="s">
        <v>266</v>
      </c>
      <c r="D11" s="941" t="s">
        <v>268</v>
      </c>
      <c r="E11" s="941" t="s">
        <v>270</v>
      </c>
      <c r="F11" s="941" t="s">
        <v>271</v>
      </c>
      <c r="H11" s="242" t="s">
        <v>274</v>
      </c>
      <c r="I11" s="242"/>
      <c r="J11" s="242" t="s">
        <v>272</v>
      </c>
      <c r="K11" s="242" t="s">
        <v>277</v>
      </c>
    </row>
    <row r="12" spans="1:11" ht="15" thickBot="1">
      <c r="A12" s="243" t="s">
        <v>512</v>
      </c>
      <c r="B12" s="942"/>
      <c r="C12" s="942"/>
      <c r="D12" s="942"/>
      <c r="E12" s="942"/>
      <c r="F12" s="942"/>
      <c r="H12" s="242" t="s">
        <v>275</v>
      </c>
      <c r="I12" s="242"/>
      <c r="J12" s="242" t="s">
        <v>273</v>
      </c>
      <c r="K12" s="242" t="s">
        <v>278</v>
      </c>
    </row>
    <row r="13" spans="1:11" ht="15" thickBot="1">
      <c r="A13" s="229" t="s">
        <v>55</v>
      </c>
      <c r="B13" s="230">
        <v>225</v>
      </c>
      <c r="C13" s="230">
        <v>1097</v>
      </c>
      <c r="D13" s="230"/>
      <c r="E13" s="75">
        <v>726.51</v>
      </c>
      <c r="F13" s="136">
        <v>1075.6099999999999</v>
      </c>
      <c r="H13" s="242" t="s">
        <v>276</v>
      </c>
      <c r="I13" s="242"/>
      <c r="J13" s="242"/>
      <c r="K13" s="242" t="s">
        <v>267</v>
      </c>
    </row>
    <row r="14" spans="1:11" ht="15" thickBot="1">
      <c r="A14" s="241"/>
      <c r="B14" s="230"/>
      <c r="C14" s="230"/>
      <c r="D14" s="230"/>
    </row>
    <row r="15" spans="1:11" ht="15" thickBot="1">
      <c r="A15" s="180" t="s">
        <v>470</v>
      </c>
      <c r="B15" s="202" t="s">
        <v>421</v>
      </c>
      <c r="C15" s="203" t="s">
        <v>265</v>
      </c>
      <c r="D15" s="204" t="s">
        <v>469</v>
      </c>
    </row>
    <row r="16" spans="1:11">
      <c r="A16" s="206" t="s">
        <v>467</v>
      </c>
      <c r="B16" s="49">
        <v>91</v>
      </c>
      <c r="C16" s="49"/>
      <c r="D16" s="49">
        <v>110</v>
      </c>
    </row>
    <row r="17" spans="1:7" ht="15" thickBot="1">
      <c r="A17" s="206" t="s">
        <v>468</v>
      </c>
      <c r="B17" s="49">
        <v>72</v>
      </c>
      <c r="C17" s="49"/>
      <c r="D17" s="49">
        <v>70</v>
      </c>
    </row>
    <row r="18" spans="1:7" ht="15" thickBot="1">
      <c r="A18" s="207" t="s">
        <v>260</v>
      </c>
      <c r="B18" s="205">
        <f>B16+B17</f>
        <v>163</v>
      </c>
      <c r="C18" s="205">
        <f>C16+C17</f>
        <v>0</v>
      </c>
      <c r="D18" s="205">
        <f>D16+D17</f>
        <v>180</v>
      </c>
    </row>
    <row r="19" spans="1:7" ht="15" thickBot="1"/>
    <row r="20" spans="1:7" ht="15" thickBot="1">
      <c r="A20" s="245" t="s">
        <v>515</v>
      </c>
      <c r="B20" s="246" t="s">
        <v>421</v>
      </c>
      <c r="C20" s="246" t="s">
        <v>516</v>
      </c>
      <c r="D20" s="245" t="s">
        <v>519</v>
      </c>
      <c r="E20" s="253" t="s">
        <v>526</v>
      </c>
    </row>
    <row r="21" spans="1:7">
      <c r="A21" s="247" t="s">
        <v>513</v>
      </c>
      <c r="B21" s="49">
        <v>469</v>
      </c>
      <c r="C21" s="49">
        <v>310</v>
      </c>
      <c r="D21" s="1" t="s">
        <v>226</v>
      </c>
      <c r="E21" t="s">
        <v>226</v>
      </c>
    </row>
    <row r="22" spans="1:7">
      <c r="A22" s="247" t="s">
        <v>517</v>
      </c>
      <c r="B22" s="49">
        <v>66</v>
      </c>
      <c r="C22" s="49">
        <v>80</v>
      </c>
      <c r="D22" s="1" t="s">
        <v>226</v>
      </c>
      <c r="E22" t="s">
        <v>226</v>
      </c>
    </row>
    <row r="23" spans="1:7" ht="15" thickBot="1">
      <c r="A23" s="248" t="s">
        <v>514</v>
      </c>
      <c r="B23" s="49">
        <v>72</v>
      </c>
      <c r="C23" s="49">
        <v>72</v>
      </c>
      <c r="D23" s="1" t="s">
        <v>226</v>
      </c>
      <c r="E23" t="s">
        <v>226</v>
      </c>
    </row>
    <row r="24" spans="1:7" ht="15" thickBot="1">
      <c r="A24" s="248" t="s">
        <v>520</v>
      </c>
      <c r="B24" s="49" t="s">
        <v>226</v>
      </c>
      <c r="C24" s="49" t="s">
        <v>226</v>
      </c>
      <c r="D24" s="49">
        <v>560</v>
      </c>
      <c r="E24" t="s">
        <v>527</v>
      </c>
    </row>
    <row r="25" spans="1:7" ht="15" thickBot="1">
      <c r="A25" s="247" t="s">
        <v>525</v>
      </c>
      <c r="B25" t="s">
        <v>226</v>
      </c>
      <c r="C25" t="s">
        <v>226</v>
      </c>
      <c r="E25" s="49">
        <v>120</v>
      </c>
    </row>
    <row r="26" spans="1:7" ht="15" thickBot="1">
      <c r="A26" s="244" t="s">
        <v>260</v>
      </c>
      <c r="B26" s="249">
        <f>B21+B22+B23</f>
        <v>607</v>
      </c>
      <c r="C26" s="249">
        <f>C21+C22+C23</f>
        <v>462</v>
      </c>
      <c r="D26" s="249">
        <f>D24</f>
        <v>560</v>
      </c>
      <c r="E26" s="249">
        <f>E25</f>
        <v>120</v>
      </c>
      <c r="G26" s="215"/>
    </row>
    <row r="27" spans="1:7" ht="15" thickBot="1">
      <c r="C27" s="14" t="s">
        <v>518</v>
      </c>
    </row>
    <row r="28" spans="1:7" ht="15" thickBot="1">
      <c r="A28" s="193" t="s">
        <v>523</v>
      </c>
      <c r="B28" s="69" t="s">
        <v>528</v>
      </c>
      <c r="G28" s="254"/>
    </row>
    <row r="29" spans="1:7">
      <c r="A29" s="251" t="s">
        <v>521</v>
      </c>
    </row>
    <row r="30" spans="1:7">
      <c r="A30" s="251" t="s">
        <v>522</v>
      </c>
    </row>
    <row r="31" spans="1:7">
      <c r="A31" s="252" t="s">
        <v>260</v>
      </c>
      <c r="B31" s="49">
        <v>360</v>
      </c>
    </row>
    <row r="33" spans="1:6">
      <c r="A33" s="256" t="s">
        <v>524</v>
      </c>
    </row>
    <row r="34" spans="1:6" ht="15" thickBot="1"/>
    <row r="35" spans="1:6" ht="15" thickBot="1">
      <c r="A35" s="193" t="s">
        <v>593</v>
      </c>
      <c r="B35" t="s">
        <v>596</v>
      </c>
      <c r="C35" t="s">
        <v>597</v>
      </c>
      <c r="D35" t="s">
        <v>599</v>
      </c>
      <c r="E35" t="s">
        <v>600</v>
      </c>
      <c r="F35" t="s">
        <v>602</v>
      </c>
    </row>
    <row r="36" spans="1:6">
      <c r="A36" s="192" t="s">
        <v>33</v>
      </c>
      <c r="C36" s="49" t="s">
        <v>598</v>
      </c>
      <c r="D36" s="49"/>
      <c r="E36" s="49" t="s">
        <v>601</v>
      </c>
      <c r="F36" s="49" t="s">
        <v>603</v>
      </c>
    </row>
    <row r="37" spans="1:6">
      <c r="A37" s="251" t="s">
        <v>594</v>
      </c>
      <c r="B37" s="49">
        <v>650</v>
      </c>
      <c r="C37" s="49"/>
      <c r="D37" s="49">
        <v>460</v>
      </c>
      <c r="E37" s="49">
        <v>531</v>
      </c>
      <c r="F37" s="49">
        <v>1010</v>
      </c>
    </row>
    <row r="38" spans="1:6">
      <c r="A38" s="251" t="s">
        <v>595</v>
      </c>
      <c r="B38" s="49">
        <v>1300</v>
      </c>
      <c r="C38" s="49"/>
      <c r="D38" s="49">
        <v>797</v>
      </c>
      <c r="E38" s="49">
        <v>1111</v>
      </c>
      <c r="F38" s="49" t="s">
        <v>226</v>
      </c>
    </row>
    <row r="39" spans="1:6" ht="15" thickBot="1"/>
    <row r="40" spans="1:6" ht="15" thickBot="1">
      <c r="A40" s="257" t="s">
        <v>605</v>
      </c>
      <c r="B40" s="69" t="s">
        <v>606</v>
      </c>
    </row>
    <row r="41" spans="1:6">
      <c r="A41" t="s">
        <v>607</v>
      </c>
      <c r="B41" s="233">
        <f>768*2</f>
        <v>1536</v>
      </c>
    </row>
  </sheetData>
  <mergeCells count="7">
    <mergeCell ref="E11:E12"/>
    <mergeCell ref="F11:F12"/>
    <mergeCell ref="A1:D1"/>
    <mergeCell ref="A10:D10"/>
    <mergeCell ref="B11:B12"/>
    <mergeCell ref="C11:C12"/>
    <mergeCell ref="D11:D1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8523-8E7E-43B0-9632-3C22CEA3D302}">
  <dimension ref="A1:L41"/>
  <sheetViews>
    <sheetView topLeftCell="A5" workbookViewId="0">
      <selection activeCell="B5" sqref="B5"/>
    </sheetView>
  </sheetViews>
  <sheetFormatPr defaultRowHeight="14.4"/>
  <cols>
    <col min="1" max="1" width="12.44140625" style="72" customWidth="1"/>
    <col min="2" max="2" width="21.33203125" style="1" customWidth="1"/>
    <col min="3" max="3" width="20.44140625" style="1" bestFit="1" customWidth="1"/>
    <col min="4" max="4" width="50.21875" bestFit="1" customWidth="1"/>
    <col min="5" max="5" width="29.5546875" style="1" bestFit="1" customWidth="1"/>
    <col min="9" max="9" width="10.88671875" bestFit="1" customWidth="1"/>
    <col min="10" max="10" width="19.109375" bestFit="1" customWidth="1"/>
  </cols>
  <sheetData>
    <row r="1" spans="1:5" ht="15.6">
      <c r="A1" s="680" t="s">
        <v>221</v>
      </c>
      <c r="B1" s="680" t="s">
        <v>190</v>
      </c>
      <c r="C1" s="680" t="s">
        <v>496</v>
      </c>
      <c r="D1" s="681"/>
      <c r="E1" s="3" t="s">
        <v>718</v>
      </c>
    </row>
    <row r="2" spans="1:5">
      <c r="A2" s="3">
        <v>2</v>
      </c>
      <c r="B2" s="682" t="s">
        <v>529</v>
      </c>
      <c r="C2" s="100" t="s">
        <v>573</v>
      </c>
      <c r="D2" s="681" t="s">
        <v>592</v>
      </c>
      <c r="E2" s="100" t="s">
        <v>824</v>
      </c>
    </row>
    <row r="3" spans="1:5">
      <c r="A3" s="3">
        <v>4</v>
      </c>
      <c r="B3" s="100" t="s">
        <v>530</v>
      </c>
      <c r="C3" s="100"/>
      <c r="D3" s="681"/>
      <c r="E3" s="100"/>
    </row>
    <row r="4" spans="1:5">
      <c r="A4" s="3">
        <v>2</v>
      </c>
      <c r="B4" s="100" t="s">
        <v>531</v>
      </c>
      <c r="C4" s="100"/>
      <c r="D4" s="681"/>
      <c r="E4" s="100"/>
    </row>
    <row r="5" spans="1:5">
      <c r="A5" s="3">
        <v>1</v>
      </c>
      <c r="B5" s="100" t="s">
        <v>532</v>
      </c>
      <c r="C5" s="100"/>
      <c r="D5" s="681"/>
      <c r="E5" s="100"/>
    </row>
    <row r="6" spans="1:5">
      <c r="A6" s="3">
        <v>1</v>
      </c>
      <c r="B6" s="100" t="s">
        <v>533</v>
      </c>
      <c r="C6" s="100"/>
      <c r="D6" s="681" t="s">
        <v>574</v>
      </c>
      <c r="E6" s="100"/>
    </row>
    <row r="7" spans="1:5">
      <c r="A7" s="3">
        <v>1</v>
      </c>
      <c r="B7" s="100" t="s">
        <v>534</v>
      </c>
      <c r="C7" s="100"/>
      <c r="D7" s="681" t="s">
        <v>574</v>
      </c>
      <c r="E7" s="100"/>
    </row>
    <row r="8" spans="1:5">
      <c r="A8" s="3">
        <v>1</v>
      </c>
      <c r="B8" s="100" t="s">
        <v>298</v>
      </c>
      <c r="C8" s="100"/>
      <c r="D8" s="681" t="s">
        <v>575</v>
      </c>
      <c r="E8" s="100"/>
    </row>
    <row r="9" spans="1:5">
      <c r="A9" s="3">
        <v>1</v>
      </c>
      <c r="B9" s="100" t="s">
        <v>535</v>
      </c>
      <c r="C9" s="100"/>
      <c r="D9" s="681"/>
      <c r="E9" s="100"/>
    </row>
    <row r="10" spans="1:5">
      <c r="A10" s="3">
        <v>1</v>
      </c>
      <c r="B10" s="100" t="s">
        <v>536</v>
      </c>
      <c r="C10" s="100"/>
      <c r="D10" s="681" t="s">
        <v>576</v>
      </c>
      <c r="E10" s="100"/>
    </row>
    <row r="11" spans="1:5">
      <c r="A11" s="3">
        <v>2</v>
      </c>
      <c r="B11" s="100" t="s">
        <v>537</v>
      </c>
      <c r="C11" s="100"/>
      <c r="D11" s="681" t="s">
        <v>577</v>
      </c>
      <c r="E11" s="100"/>
    </row>
    <row r="12" spans="1:5">
      <c r="A12" s="561">
        <v>0</v>
      </c>
      <c r="B12" s="496" t="s">
        <v>538</v>
      </c>
      <c r="C12" s="496"/>
      <c r="D12" s="683" t="s">
        <v>716</v>
      </c>
      <c r="E12" s="100" t="s">
        <v>717</v>
      </c>
    </row>
    <row r="13" spans="1:5">
      <c r="A13" s="3">
        <v>1</v>
      </c>
      <c r="B13" s="100" t="s">
        <v>687</v>
      </c>
      <c r="C13" s="100" t="s">
        <v>688</v>
      </c>
      <c r="D13" s="681" t="s">
        <v>545</v>
      </c>
      <c r="E13" s="100"/>
    </row>
    <row r="14" spans="1:5">
      <c r="A14" s="3">
        <v>2</v>
      </c>
      <c r="B14" s="100" t="s">
        <v>540</v>
      </c>
      <c r="C14" s="100"/>
      <c r="D14" s="681" t="s">
        <v>578</v>
      </c>
      <c r="E14" s="100" t="s">
        <v>715</v>
      </c>
    </row>
    <row r="15" spans="1:5">
      <c r="A15" s="3">
        <v>1</v>
      </c>
      <c r="B15" s="100" t="s">
        <v>541</v>
      </c>
      <c r="C15" s="100"/>
      <c r="D15" s="681"/>
      <c r="E15" s="100"/>
    </row>
    <row r="16" spans="1:5">
      <c r="A16" s="3">
        <v>1</v>
      </c>
      <c r="B16" s="100" t="s">
        <v>542</v>
      </c>
      <c r="C16" s="100"/>
      <c r="D16" s="681" t="s">
        <v>579</v>
      </c>
      <c r="E16" s="100"/>
    </row>
    <row r="17" spans="1:12">
      <c r="A17" s="684">
        <v>0</v>
      </c>
      <c r="B17" s="685" t="s">
        <v>543</v>
      </c>
      <c r="C17" s="685" t="s">
        <v>544</v>
      </c>
      <c r="D17" s="686" t="s">
        <v>580</v>
      </c>
      <c r="E17" s="100"/>
    </row>
    <row r="18" spans="1:12">
      <c r="A18" s="3">
        <v>1</v>
      </c>
      <c r="B18" s="100">
        <v>2312704</v>
      </c>
      <c r="C18" s="100" t="s">
        <v>545</v>
      </c>
      <c r="D18" s="681" t="s">
        <v>545</v>
      </c>
      <c r="E18" s="100"/>
      <c r="I18" s="1">
        <v>2312704</v>
      </c>
      <c r="J18" s="1" t="s">
        <v>545</v>
      </c>
      <c r="K18" s="255" t="s">
        <v>545</v>
      </c>
    </row>
    <row r="19" spans="1:12">
      <c r="A19" s="684">
        <v>0</v>
      </c>
      <c r="B19" s="685" t="s">
        <v>546</v>
      </c>
      <c r="C19" s="685" t="s">
        <v>689</v>
      </c>
      <c r="D19" s="686" t="s">
        <v>545</v>
      </c>
      <c r="E19" s="100"/>
      <c r="I19" s="288" t="s">
        <v>546</v>
      </c>
      <c r="J19" s="288" t="s">
        <v>545</v>
      </c>
      <c r="K19" s="287" t="s">
        <v>545</v>
      </c>
      <c r="L19" s="98" t="s">
        <v>686</v>
      </c>
    </row>
    <row r="20" spans="1:12">
      <c r="A20" s="3">
        <v>2</v>
      </c>
      <c r="B20" s="100" t="s">
        <v>547</v>
      </c>
      <c r="C20" s="100"/>
      <c r="D20" s="681"/>
      <c r="E20" s="100"/>
      <c r="I20" s="1" t="s">
        <v>539</v>
      </c>
      <c r="J20" s="1" t="s">
        <v>545</v>
      </c>
      <c r="K20" s="255" t="s">
        <v>545</v>
      </c>
    </row>
    <row r="21" spans="1:12">
      <c r="A21" s="3">
        <v>1</v>
      </c>
      <c r="B21" s="100" t="s">
        <v>548</v>
      </c>
      <c r="C21" s="100"/>
      <c r="D21" s="681"/>
      <c r="E21" s="100"/>
    </row>
    <row r="22" spans="1:12">
      <c r="A22" s="3">
        <v>1</v>
      </c>
      <c r="B22" s="100" t="s">
        <v>549</v>
      </c>
      <c r="C22" s="100"/>
      <c r="D22" s="681"/>
      <c r="E22" s="100"/>
    </row>
    <row r="23" spans="1:12">
      <c r="A23" s="3">
        <v>1</v>
      </c>
      <c r="B23" s="100" t="s">
        <v>550</v>
      </c>
      <c r="C23" s="100" t="s">
        <v>551</v>
      </c>
      <c r="D23" s="681"/>
      <c r="E23" s="100"/>
    </row>
    <row r="24" spans="1:12">
      <c r="A24" s="3">
        <v>1</v>
      </c>
      <c r="B24" s="100" t="s">
        <v>552</v>
      </c>
      <c r="C24" s="100" t="s">
        <v>582</v>
      </c>
      <c r="D24" s="681" t="s">
        <v>581</v>
      </c>
      <c r="E24" s="100"/>
      <c r="I24" s="288" t="s">
        <v>546</v>
      </c>
    </row>
    <row r="25" spans="1:12">
      <c r="A25" s="3">
        <v>1</v>
      </c>
      <c r="B25" s="100" t="s">
        <v>553</v>
      </c>
      <c r="C25" s="100"/>
      <c r="D25" s="681" t="s">
        <v>583</v>
      </c>
      <c r="E25" s="100"/>
      <c r="I25" s="183" t="s">
        <v>545</v>
      </c>
    </row>
    <row r="26" spans="1:12">
      <c r="A26" s="3">
        <v>1</v>
      </c>
      <c r="B26" s="100" t="s">
        <v>554</v>
      </c>
      <c r="C26" s="100"/>
      <c r="D26" s="681"/>
      <c r="E26" s="100"/>
      <c r="I26" s="286" t="s">
        <v>546</v>
      </c>
      <c r="J26" s="286" t="s">
        <v>710</v>
      </c>
    </row>
    <row r="27" spans="1:12">
      <c r="A27" s="3">
        <v>2</v>
      </c>
      <c r="B27" s="100" t="s">
        <v>555</v>
      </c>
      <c r="C27" s="100"/>
      <c r="D27" s="681" t="s">
        <v>584</v>
      </c>
      <c r="E27" s="100"/>
      <c r="I27" s="117" t="s">
        <v>709</v>
      </c>
      <c r="J27" s="117" t="s">
        <v>708</v>
      </c>
    </row>
    <row r="28" spans="1:12">
      <c r="A28" s="3">
        <v>1</v>
      </c>
      <c r="B28" s="100" t="s">
        <v>556</v>
      </c>
      <c r="C28" s="100"/>
      <c r="D28" s="681"/>
      <c r="E28" s="100"/>
    </row>
    <row r="29" spans="1:12">
      <c r="A29" s="3">
        <v>1</v>
      </c>
      <c r="B29" s="100" t="s">
        <v>557</v>
      </c>
      <c r="C29" s="100"/>
      <c r="D29" s="681" t="s">
        <v>585</v>
      </c>
      <c r="E29" s="100"/>
    </row>
    <row r="30" spans="1:12">
      <c r="A30" s="3">
        <v>1</v>
      </c>
      <c r="B30" s="100" t="s">
        <v>558</v>
      </c>
      <c r="C30" s="100"/>
      <c r="D30" s="681"/>
      <c r="E30" s="100"/>
    </row>
    <row r="31" spans="1:12">
      <c r="A31" s="3">
        <v>1</v>
      </c>
      <c r="B31" s="100" t="s">
        <v>559</v>
      </c>
      <c r="C31" s="100" t="s">
        <v>560</v>
      </c>
      <c r="D31" s="681" t="s">
        <v>586</v>
      </c>
      <c r="E31" s="100"/>
    </row>
    <row r="32" spans="1:12">
      <c r="A32" s="3">
        <v>1</v>
      </c>
      <c r="B32" s="100" t="s">
        <v>561</v>
      </c>
      <c r="C32" s="100"/>
      <c r="D32" s="681"/>
      <c r="E32" s="100"/>
    </row>
    <row r="33" spans="1:8">
      <c r="A33" s="3">
        <v>1</v>
      </c>
      <c r="B33" s="100" t="s">
        <v>562</v>
      </c>
      <c r="C33" s="100"/>
      <c r="D33" s="681" t="s">
        <v>587</v>
      </c>
      <c r="E33" s="100"/>
    </row>
    <row r="34" spans="1:8">
      <c r="A34" s="3">
        <v>1</v>
      </c>
      <c r="B34" s="100" t="s">
        <v>563</v>
      </c>
      <c r="C34" s="100"/>
      <c r="D34" s="681" t="s">
        <v>588</v>
      </c>
      <c r="E34" s="100"/>
    </row>
    <row r="35" spans="1:8">
      <c r="A35" s="3">
        <v>1</v>
      </c>
      <c r="B35" s="100" t="s">
        <v>564</v>
      </c>
      <c r="C35" s="3" t="s">
        <v>560</v>
      </c>
      <c r="D35" s="681" t="s">
        <v>589</v>
      </c>
      <c r="E35" s="100" t="s">
        <v>715</v>
      </c>
    </row>
    <row r="36" spans="1:8">
      <c r="A36" s="3">
        <v>1</v>
      </c>
      <c r="B36" s="100" t="s">
        <v>565</v>
      </c>
      <c r="C36" s="100" t="s">
        <v>566</v>
      </c>
      <c r="D36" s="681"/>
      <c r="E36" s="100"/>
    </row>
    <row r="37" spans="1:8">
      <c r="A37" s="3">
        <v>1</v>
      </c>
      <c r="B37" s="100" t="s">
        <v>567</v>
      </c>
      <c r="C37" s="100"/>
      <c r="D37" s="681" t="s">
        <v>590</v>
      </c>
      <c r="E37" s="100"/>
    </row>
    <row r="38" spans="1:8">
      <c r="A38" s="3">
        <v>1</v>
      </c>
      <c r="B38" s="100" t="s">
        <v>568</v>
      </c>
      <c r="C38" s="100"/>
      <c r="D38" s="681" t="s">
        <v>591</v>
      </c>
      <c r="E38" s="100"/>
    </row>
    <row r="39" spans="1:8">
      <c r="A39" s="3">
        <v>1</v>
      </c>
      <c r="B39" s="100" t="s">
        <v>569</v>
      </c>
      <c r="C39" s="100"/>
      <c r="D39" s="681"/>
      <c r="E39" s="100"/>
      <c r="H39" s="1"/>
    </row>
    <row r="40" spans="1:8">
      <c r="A40" s="3">
        <v>1</v>
      </c>
      <c r="B40" s="100">
        <v>502433</v>
      </c>
      <c r="C40" s="100" t="s">
        <v>570</v>
      </c>
      <c r="D40" s="681"/>
      <c r="E40" s="100"/>
    </row>
    <row r="41" spans="1:8">
      <c r="A41" s="3">
        <v>1</v>
      </c>
      <c r="B41" s="100" t="s">
        <v>571</v>
      </c>
      <c r="C41" s="100" t="s">
        <v>572</v>
      </c>
      <c r="D41" s="681"/>
      <c r="E41" s="1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D634-BD66-4A52-BEA8-7AE247D70B42}">
  <dimension ref="A1:I29"/>
  <sheetViews>
    <sheetView workbookViewId="0">
      <selection activeCell="F14" sqref="F14"/>
    </sheetView>
  </sheetViews>
  <sheetFormatPr defaultRowHeight="14.4"/>
  <cols>
    <col min="1" max="1" width="26.88671875" customWidth="1"/>
    <col min="2" max="2" width="14.21875" bestFit="1" customWidth="1"/>
    <col min="3" max="3" width="12" bestFit="1" customWidth="1"/>
    <col min="4" max="4" width="26.44140625" bestFit="1" customWidth="1"/>
    <col min="6" max="6" width="57.88671875" bestFit="1" customWidth="1"/>
    <col min="8" max="8" width="57.88671875" bestFit="1" customWidth="1"/>
    <col min="9" max="9" width="12.88671875" bestFit="1" customWidth="1"/>
    <col min="11" max="11" width="12.88671875" bestFit="1" customWidth="1"/>
  </cols>
  <sheetData>
    <row r="1" spans="1:9" ht="15" thickBot="1"/>
    <row r="2" spans="1:9" ht="16.2" thickBot="1">
      <c r="A2" s="943" t="s">
        <v>315</v>
      </c>
      <c r="B2" s="944"/>
      <c r="C2" s="944"/>
      <c r="D2" s="945"/>
      <c r="E2" s="145"/>
      <c r="F2" s="946" t="s">
        <v>307</v>
      </c>
      <c r="G2" s="947"/>
      <c r="H2" s="947"/>
      <c r="I2" s="948"/>
    </row>
    <row r="3" spans="1:9" ht="15" thickBot="1">
      <c r="A3" s="137" t="s">
        <v>319</v>
      </c>
      <c r="B3" s="138" t="s">
        <v>33</v>
      </c>
      <c r="C3" s="138" t="s">
        <v>320</v>
      </c>
      <c r="D3" s="139" t="s">
        <v>321</v>
      </c>
      <c r="F3" s="949" t="s">
        <v>308</v>
      </c>
      <c r="G3" s="950"/>
      <c r="H3" s="950"/>
      <c r="I3" s="951"/>
    </row>
    <row r="4" spans="1:9">
      <c r="A4" s="140" t="s">
        <v>322</v>
      </c>
      <c r="B4" s="141" t="s">
        <v>323</v>
      </c>
      <c r="C4" s="142" t="s">
        <v>324</v>
      </c>
      <c r="D4" s="141" t="s">
        <v>325</v>
      </c>
      <c r="F4" s="949" t="s">
        <v>309</v>
      </c>
      <c r="G4" s="950"/>
      <c r="H4" s="950"/>
      <c r="I4" s="951"/>
    </row>
    <row r="5" spans="1:9">
      <c r="A5" s="3" t="s">
        <v>326</v>
      </c>
      <c r="B5" s="100" t="s">
        <v>327</v>
      </c>
      <c r="C5" s="143" t="s">
        <v>328</v>
      </c>
      <c r="D5" s="123" t="s">
        <v>329</v>
      </c>
      <c r="F5" s="949" t="s">
        <v>310</v>
      </c>
      <c r="G5" s="950"/>
      <c r="H5" s="950"/>
      <c r="I5" s="951"/>
    </row>
    <row r="6" spans="1:9">
      <c r="A6" s="3" t="s">
        <v>330</v>
      </c>
      <c r="B6" s="100" t="s">
        <v>331</v>
      </c>
      <c r="C6" s="100" t="s">
        <v>332</v>
      </c>
      <c r="D6" s="100" t="s">
        <v>333</v>
      </c>
      <c r="F6" s="124" t="s">
        <v>311</v>
      </c>
      <c r="G6" s="125" t="s">
        <v>312</v>
      </c>
      <c r="H6" s="125" t="s">
        <v>313</v>
      </c>
      <c r="I6" s="126" t="s">
        <v>314</v>
      </c>
    </row>
    <row r="7" spans="1:9">
      <c r="A7" s="3" t="s">
        <v>334</v>
      </c>
      <c r="B7" s="100" t="s">
        <v>335</v>
      </c>
      <c r="C7" s="16" t="s">
        <v>336</v>
      </c>
      <c r="D7" s="100" t="s">
        <v>337</v>
      </c>
      <c r="F7" s="127" t="s">
        <v>315</v>
      </c>
      <c r="G7" s="128">
        <v>10000</v>
      </c>
      <c r="H7" s="16">
        <v>5.45</v>
      </c>
      <c r="I7" s="35">
        <f>H7*G7</f>
        <v>54500</v>
      </c>
    </row>
    <row r="8" spans="1:9">
      <c r="A8" s="144"/>
      <c r="B8" s="144"/>
      <c r="C8" s="144"/>
      <c r="D8" s="144"/>
      <c r="F8" s="129" t="s">
        <v>238</v>
      </c>
      <c r="G8" s="130">
        <v>10000</v>
      </c>
      <c r="H8" s="131"/>
      <c r="I8" s="132">
        <f>I7</f>
        <v>54500</v>
      </c>
    </row>
    <row r="9" spans="1:9">
      <c r="F9" s="133" t="s">
        <v>316</v>
      </c>
      <c r="I9" s="134"/>
    </row>
    <row r="10" spans="1:9" ht="15" thickBot="1">
      <c r="F10" s="133" t="s">
        <v>317</v>
      </c>
      <c r="I10" s="134"/>
    </row>
    <row r="11" spans="1:9" ht="15" thickBot="1">
      <c r="A11" s="148" t="s">
        <v>338</v>
      </c>
      <c r="B11" s="149" t="s">
        <v>339</v>
      </c>
      <c r="C11" s="149" t="s">
        <v>340</v>
      </c>
      <c r="F11" s="135" t="s">
        <v>318</v>
      </c>
      <c r="G11" s="75"/>
      <c r="H11" s="75"/>
      <c r="I11" s="136"/>
    </row>
    <row r="12" spans="1:9">
      <c r="A12" s="147" t="s">
        <v>319</v>
      </c>
      <c r="B12" s="146" t="s">
        <v>33</v>
      </c>
      <c r="C12" s="146" t="s">
        <v>320</v>
      </c>
    </row>
    <row r="13" spans="1:9">
      <c r="A13" s="3" t="s">
        <v>322</v>
      </c>
      <c r="B13" s="100" t="s">
        <v>323</v>
      </c>
      <c r="C13" s="30" t="s">
        <v>341</v>
      </c>
    </row>
    <row r="14" spans="1:9">
      <c r="A14" s="3" t="s">
        <v>326</v>
      </c>
      <c r="B14" s="100" t="s">
        <v>327</v>
      </c>
      <c r="C14" s="30" t="s">
        <v>342</v>
      </c>
    </row>
    <row r="15" spans="1:9" ht="15" thickBot="1">
      <c r="A15" s="3" t="s">
        <v>330</v>
      </c>
      <c r="B15" s="100" t="s">
        <v>331</v>
      </c>
      <c r="C15" s="30" t="s">
        <v>343</v>
      </c>
    </row>
    <row r="16" spans="1:9" ht="15" thickBot="1">
      <c r="F16" s="946" t="s">
        <v>1093</v>
      </c>
      <c r="G16" s="947"/>
      <c r="H16" s="947"/>
      <c r="I16" s="948"/>
    </row>
    <row r="17" spans="1:9" ht="15" thickBot="1">
      <c r="A17" s="150" t="s">
        <v>344</v>
      </c>
      <c r="B17" s="151" t="s">
        <v>345</v>
      </c>
      <c r="C17" s="149" t="s">
        <v>346</v>
      </c>
      <c r="D17" t="s">
        <v>347</v>
      </c>
      <c r="F17" s="949" t="s">
        <v>1143</v>
      </c>
      <c r="G17" s="950"/>
      <c r="H17" s="950"/>
      <c r="I17" s="951"/>
    </row>
    <row r="18" spans="1:9">
      <c r="A18" s="147" t="s">
        <v>319</v>
      </c>
      <c r="B18" s="146" t="s">
        <v>33</v>
      </c>
      <c r="C18" s="152" t="s">
        <v>320</v>
      </c>
      <c r="F18" s="949" t="s">
        <v>1140</v>
      </c>
      <c r="G18" s="950"/>
      <c r="H18" s="950"/>
      <c r="I18" s="951"/>
    </row>
    <row r="19" spans="1:9">
      <c r="A19" s="94" t="s">
        <v>322</v>
      </c>
      <c r="B19" s="100" t="s">
        <v>323</v>
      </c>
      <c r="C19" s="134" t="s">
        <v>350</v>
      </c>
      <c r="F19" s="124" t="s">
        <v>311</v>
      </c>
      <c r="G19" s="125" t="s">
        <v>312</v>
      </c>
      <c r="H19" s="125" t="s">
        <v>313</v>
      </c>
      <c r="I19" s="126" t="s">
        <v>314</v>
      </c>
    </row>
    <row r="20" spans="1:9">
      <c r="A20" s="94" t="s">
        <v>326</v>
      </c>
      <c r="B20" s="100" t="s">
        <v>327</v>
      </c>
      <c r="C20" s="134" t="s">
        <v>348</v>
      </c>
      <c r="F20" s="127" t="s">
        <v>315</v>
      </c>
      <c r="G20" s="128">
        <v>5000</v>
      </c>
      <c r="H20" s="16">
        <v>7.56</v>
      </c>
      <c r="I20" s="35">
        <f>H20*G20</f>
        <v>37800</v>
      </c>
    </row>
    <row r="21" spans="1:9">
      <c r="A21" s="94" t="s">
        <v>330</v>
      </c>
      <c r="B21" s="100" t="s">
        <v>331</v>
      </c>
      <c r="C21" s="134" t="s">
        <v>349</v>
      </c>
      <c r="F21" s="129" t="s">
        <v>238</v>
      </c>
      <c r="G21" s="130">
        <v>5000</v>
      </c>
      <c r="H21" s="131"/>
      <c r="I21" s="132">
        <f>I20</f>
        <v>37800</v>
      </c>
    </row>
    <row r="22" spans="1:9" ht="15" thickBot="1">
      <c r="A22" s="95" t="s">
        <v>334</v>
      </c>
      <c r="B22" s="153" t="s">
        <v>335</v>
      </c>
      <c r="C22" s="136" t="s">
        <v>351</v>
      </c>
      <c r="F22" s="133" t="s">
        <v>316</v>
      </c>
      <c r="I22" s="134"/>
    </row>
    <row r="23" spans="1:9" ht="15" thickBot="1">
      <c r="F23" s="133" t="s">
        <v>1142</v>
      </c>
      <c r="I23" s="134"/>
    </row>
    <row r="24" spans="1:9" ht="15" thickBot="1">
      <c r="A24" s="150" t="s">
        <v>1071</v>
      </c>
      <c r="B24" s="151" t="s">
        <v>345</v>
      </c>
      <c r="C24" s="149" t="s">
        <v>346</v>
      </c>
      <c r="F24" s="135" t="s">
        <v>1141</v>
      </c>
      <c r="G24" s="75"/>
      <c r="H24" s="75"/>
      <c r="I24" s="136"/>
    </row>
    <row r="25" spans="1:9">
      <c r="A25" s="147" t="s">
        <v>319</v>
      </c>
      <c r="B25" s="146" t="s">
        <v>33</v>
      </c>
      <c r="C25" s="152" t="s">
        <v>320</v>
      </c>
    </row>
    <row r="26" spans="1:9">
      <c r="A26" s="94" t="s">
        <v>322</v>
      </c>
      <c r="B26" s="100" t="s">
        <v>323</v>
      </c>
      <c r="C26" s="134" t="s">
        <v>350</v>
      </c>
    </row>
    <row r="27" spans="1:9">
      <c r="A27" s="94" t="s">
        <v>326</v>
      </c>
      <c r="B27" s="100" t="s">
        <v>327</v>
      </c>
      <c r="C27" s="134" t="s">
        <v>348</v>
      </c>
    </row>
    <row r="28" spans="1:9">
      <c r="A28" s="94" t="s">
        <v>330</v>
      </c>
      <c r="B28" s="100" t="s">
        <v>331</v>
      </c>
      <c r="C28" s="134" t="s">
        <v>349</v>
      </c>
    </row>
    <row r="29" spans="1:9" ht="15" thickBot="1">
      <c r="A29" s="95" t="s">
        <v>334</v>
      </c>
      <c r="B29" s="153" t="s">
        <v>335</v>
      </c>
      <c r="C29" s="136" t="s">
        <v>351</v>
      </c>
    </row>
  </sheetData>
  <mergeCells count="8">
    <mergeCell ref="A2:D2"/>
    <mergeCell ref="F16:I16"/>
    <mergeCell ref="F17:I17"/>
    <mergeCell ref="F18:I18"/>
    <mergeCell ref="F2:I2"/>
    <mergeCell ref="F3:I3"/>
    <mergeCell ref="F4:I4"/>
    <mergeCell ref="F5:I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E868-F5CA-433F-AAC3-33CF5A6C74A3}">
  <dimension ref="A2:C5"/>
  <sheetViews>
    <sheetView workbookViewId="0">
      <selection activeCell="C2" sqref="C2:C5"/>
    </sheetView>
  </sheetViews>
  <sheetFormatPr defaultRowHeight="14.4"/>
  <cols>
    <col min="1" max="1" width="10.6640625" bestFit="1" customWidth="1"/>
    <col min="2" max="2" width="11.88671875" bestFit="1" customWidth="1"/>
    <col min="3" max="3" width="13.21875" bestFit="1" customWidth="1"/>
  </cols>
  <sheetData>
    <row r="2" spans="1:3">
      <c r="A2" s="953" t="s">
        <v>407</v>
      </c>
      <c r="B2" s="953"/>
      <c r="C2" s="954" t="s">
        <v>408</v>
      </c>
    </row>
    <row r="3" spans="1:3">
      <c r="A3" s="69" t="s">
        <v>404</v>
      </c>
      <c r="B3" s="952">
        <v>2532.87</v>
      </c>
      <c r="C3" s="954"/>
    </row>
    <row r="4" spans="1:3">
      <c r="A4" s="69" t="s">
        <v>405</v>
      </c>
      <c r="B4" s="952"/>
      <c r="C4" s="954"/>
    </row>
    <row r="5" spans="1:3">
      <c r="A5" s="69" t="s">
        <v>406</v>
      </c>
      <c r="B5" s="952"/>
      <c r="C5" s="954"/>
    </row>
  </sheetData>
  <mergeCells count="3">
    <mergeCell ref="B3:B5"/>
    <mergeCell ref="A2:B2"/>
    <mergeCell ref="C2:C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13D-71C2-480D-8DF0-AA42B2F81930}">
  <dimension ref="A1:O47"/>
  <sheetViews>
    <sheetView topLeftCell="A14" workbookViewId="0">
      <selection activeCell="H21" sqref="H21"/>
    </sheetView>
  </sheetViews>
  <sheetFormatPr defaultRowHeight="14.4"/>
  <cols>
    <col min="1" max="1" width="26.21875" bestFit="1" customWidth="1"/>
    <col min="2" max="2" width="12" bestFit="1" customWidth="1"/>
    <col min="3" max="3" width="16.5546875" bestFit="1" customWidth="1"/>
    <col min="7" max="7" width="10.33203125" bestFit="1" customWidth="1"/>
    <col min="8" max="9" width="11.88671875" bestFit="1" customWidth="1"/>
    <col min="11" max="11" width="6.44140625" bestFit="1" customWidth="1"/>
    <col min="12" max="12" width="11.88671875" bestFit="1" customWidth="1"/>
    <col min="13" max="13" width="11.21875" bestFit="1" customWidth="1"/>
    <col min="15" max="15" width="11.88671875" bestFit="1" customWidth="1"/>
  </cols>
  <sheetData>
    <row r="1" spans="1:15" ht="18.600000000000001" thickBot="1">
      <c r="A1" s="184">
        <v>45985</v>
      </c>
      <c r="B1" s="185" t="s">
        <v>221</v>
      </c>
    </row>
    <row r="2" spans="1:15" ht="15" thickBot="1">
      <c r="A2" s="183" t="s">
        <v>291</v>
      </c>
      <c r="B2" s="72">
        <v>450</v>
      </c>
      <c r="C2" t="s">
        <v>305</v>
      </c>
      <c r="G2" s="960" t="s">
        <v>401</v>
      </c>
      <c r="H2" s="961"/>
      <c r="I2" s="962"/>
      <c r="K2" s="960" t="s">
        <v>402</v>
      </c>
      <c r="L2" s="962"/>
    </row>
    <row r="3" spans="1:15">
      <c r="A3" s="183" t="s">
        <v>292</v>
      </c>
      <c r="B3" s="72">
        <v>24</v>
      </c>
      <c r="C3" t="s">
        <v>306</v>
      </c>
      <c r="G3" s="155">
        <v>45947</v>
      </c>
      <c r="H3" s="1" t="s">
        <v>399</v>
      </c>
      <c r="I3" s="156">
        <v>867</v>
      </c>
      <c r="K3" s="178">
        <v>45965</v>
      </c>
      <c r="L3" s="156">
        <v>2116.4</v>
      </c>
    </row>
    <row r="4" spans="1:15">
      <c r="A4" s="183" t="s">
        <v>293</v>
      </c>
      <c r="B4" s="72">
        <v>7</v>
      </c>
      <c r="C4" t="s">
        <v>306</v>
      </c>
      <c r="G4" s="155">
        <v>45965</v>
      </c>
      <c r="H4" s="1" t="s">
        <v>399</v>
      </c>
      <c r="I4" s="156">
        <v>867</v>
      </c>
      <c r="K4" s="178">
        <v>45972</v>
      </c>
      <c r="L4" s="156">
        <v>698.7</v>
      </c>
    </row>
    <row r="5" spans="1:15">
      <c r="A5" s="183" t="s">
        <v>294</v>
      </c>
      <c r="B5" s="72">
        <v>20</v>
      </c>
      <c r="C5" t="s">
        <v>306</v>
      </c>
      <c r="G5" s="155">
        <v>45973</v>
      </c>
      <c r="H5" s="1" t="s">
        <v>399</v>
      </c>
      <c r="I5" s="156">
        <v>867</v>
      </c>
      <c r="K5" s="178">
        <v>45986</v>
      </c>
      <c r="L5" s="156">
        <v>1755</v>
      </c>
    </row>
    <row r="6" spans="1:15">
      <c r="G6" s="155">
        <v>45979</v>
      </c>
      <c r="H6" s="1" t="s">
        <v>399</v>
      </c>
      <c r="I6" s="156">
        <v>867</v>
      </c>
      <c r="K6" s="178">
        <v>45995</v>
      </c>
      <c r="L6" s="156">
        <v>2525</v>
      </c>
      <c r="M6" t="s">
        <v>427</v>
      </c>
    </row>
    <row r="7" spans="1:15">
      <c r="A7" s="186">
        <v>45994</v>
      </c>
      <c r="B7" s="183" t="s">
        <v>221</v>
      </c>
      <c r="G7" s="155">
        <v>45986</v>
      </c>
      <c r="H7" s="1" t="s">
        <v>400</v>
      </c>
      <c r="I7" s="156">
        <v>1156</v>
      </c>
      <c r="K7" s="178">
        <v>45999</v>
      </c>
      <c r="L7" s="177">
        <v>1252.1099999999999</v>
      </c>
      <c r="M7" t="s">
        <v>423</v>
      </c>
    </row>
    <row r="8" spans="1:15">
      <c r="A8" s="183" t="s">
        <v>353</v>
      </c>
      <c r="B8" s="72">
        <v>8</v>
      </c>
      <c r="G8" s="155">
        <v>45994</v>
      </c>
      <c r="H8" s="1" t="s">
        <v>400</v>
      </c>
      <c r="I8" s="156">
        <v>1156</v>
      </c>
      <c r="K8" s="178">
        <v>45999</v>
      </c>
      <c r="L8" s="156">
        <v>402.5</v>
      </c>
      <c r="M8" t="s">
        <v>427</v>
      </c>
    </row>
    <row r="9" spans="1:15">
      <c r="A9" s="183" t="s">
        <v>354</v>
      </c>
      <c r="B9" s="72">
        <v>8</v>
      </c>
      <c r="C9" t="s">
        <v>398</v>
      </c>
      <c r="F9" s="69"/>
      <c r="G9" s="155">
        <v>46000</v>
      </c>
      <c r="H9" s="1" t="s">
        <v>400</v>
      </c>
      <c r="I9" s="156">
        <v>1156</v>
      </c>
      <c r="K9" s="178">
        <v>46009</v>
      </c>
      <c r="L9" s="156">
        <v>120</v>
      </c>
      <c r="M9" t="s">
        <v>427</v>
      </c>
    </row>
    <row r="10" spans="1:15">
      <c r="A10" s="183" t="s">
        <v>352</v>
      </c>
      <c r="B10" s="72">
        <v>15</v>
      </c>
      <c r="F10" s="69"/>
      <c r="G10" s="213">
        <v>46007</v>
      </c>
      <c r="H10" s="1" t="s">
        <v>400</v>
      </c>
      <c r="I10" s="177">
        <v>1156</v>
      </c>
      <c r="K10" s="178"/>
      <c r="L10" s="156"/>
      <c r="O10" s="215">
        <f>I9+I10</f>
        <v>2312</v>
      </c>
    </row>
    <row r="11" spans="1:15" ht="15" thickBot="1">
      <c r="G11" s="963" t="s">
        <v>238</v>
      </c>
      <c r="H11" s="964"/>
      <c r="I11" s="158">
        <f>I3+I4+I5+I6+I7+I8+I9+I10</f>
        <v>8092</v>
      </c>
      <c r="K11" s="178"/>
      <c r="L11" s="156"/>
    </row>
    <row r="12" spans="1:15" ht="15" thickBot="1">
      <c r="A12" s="186">
        <v>45994</v>
      </c>
      <c r="B12" s="183" t="s">
        <v>221</v>
      </c>
      <c r="G12" s="154"/>
      <c r="I12" s="49"/>
      <c r="K12" s="157" t="s">
        <v>238</v>
      </c>
      <c r="L12" s="159">
        <f>L3+L4+L5+L6+L7+L8+L9+L10+L11</f>
        <v>8869.7100000000009</v>
      </c>
    </row>
    <row r="13" spans="1:15">
      <c r="A13" s="183" t="s">
        <v>358</v>
      </c>
      <c r="B13" s="72">
        <v>20</v>
      </c>
    </row>
    <row r="14" spans="1:15" ht="15" thickBot="1">
      <c r="A14" s="183" t="s">
        <v>357</v>
      </c>
      <c r="B14" s="72">
        <v>20</v>
      </c>
      <c r="C14" t="s">
        <v>398</v>
      </c>
    </row>
    <row r="15" spans="1:15">
      <c r="A15" s="183" t="s">
        <v>356</v>
      </c>
      <c r="B15" s="72">
        <v>30</v>
      </c>
      <c r="G15" s="958" t="s">
        <v>480</v>
      </c>
      <c r="H15" s="959"/>
    </row>
    <row r="16" spans="1:15">
      <c r="A16" s="183" t="s">
        <v>355</v>
      </c>
      <c r="B16" s="72">
        <v>10</v>
      </c>
      <c r="G16" s="155">
        <v>45986</v>
      </c>
      <c r="H16" s="156">
        <v>1764</v>
      </c>
    </row>
    <row r="17" spans="1:12" ht="15" thickBot="1">
      <c r="G17" s="155">
        <v>46002</v>
      </c>
      <c r="H17" s="156">
        <v>540</v>
      </c>
    </row>
    <row r="18" spans="1:12" ht="15" thickBot="1">
      <c r="A18" s="187">
        <v>45996</v>
      </c>
      <c r="B18" s="183" t="s">
        <v>221</v>
      </c>
      <c r="G18" s="216" t="s">
        <v>238</v>
      </c>
      <c r="H18" s="158">
        <f>H16+H17</f>
        <v>2304</v>
      </c>
      <c r="K18" s="958" t="s">
        <v>429</v>
      </c>
      <c r="L18" s="959"/>
    </row>
    <row r="19" spans="1:12" ht="15" thickBot="1">
      <c r="A19" s="188" t="s">
        <v>413</v>
      </c>
      <c r="B19" s="175">
        <v>16</v>
      </c>
      <c r="C19" s="956" t="s">
        <v>424</v>
      </c>
      <c r="K19" s="178">
        <v>45999</v>
      </c>
      <c r="L19" s="156">
        <v>479.96</v>
      </c>
    </row>
    <row r="20" spans="1:12" ht="15" thickBot="1">
      <c r="A20" s="189" t="s">
        <v>422</v>
      </c>
      <c r="B20" s="176">
        <v>5</v>
      </c>
      <c r="C20" s="957"/>
      <c r="G20" s="958" t="s">
        <v>403</v>
      </c>
      <c r="H20" s="959"/>
      <c r="K20" s="133"/>
      <c r="L20" s="134"/>
    </row>
    <row r="21" spans="1:12" ht="15" thickBot="1">
      <c r="A21" s="183" t="s">
        <v>444</v>
      </c>
      <c r="B21" s="72">
        <v>8</v>
      </c>
      <c r="C21" s="1" t="s">
        <v>161</v>
      </c>
      <c r="G21" s="160">
        <v>45995</v>
      </c>
      <c r="H21" s="136">
        <v>564.95000000000005</v>
      </c>
      <c r="K21" s="216" t="s">
        <v>238</v>
      </c>
      <c r="L21" s="158">
        <v>479.96</v>
      </c>
    </row>
    <row r="22" spans="1:12">
      <c r="A22" s="188" t="s">
        <v>425</v>
      </c>
      <c r="B22" s="175">
        <v>30</v>
      </c>
      <c r="C22" s="956" t="s">
        <v>428</v>
      </c>
    </row>
    <row r="23" spans="1:12" ht="15" thickBot="1">
      <c r="A23" s="189" t="s">
        <v>426</v>
      </c>
      <c r="B23" s="176">
        <v>5</v>
      </c>
      <c r="C23" s="957"/>
    </row>
    <row r="25" spans="1:12">
      <c r="A25" s="183" t="s">
        <v>443</v>
      </c>
      <c r="B25" s="183" t="s">
        <v>221</v>
      </c>
    </row>
    <row r="26" spans="1:12">
      <c r="A26" s="183" t="s">
        <v>445</v>
      </c>
      <c r="B26" s="72">
        <v>12</v>
      </c>
    </row>
    <row r="27" spans="1:12">
      <c r="A27" s="183" t="s">
        <v>446</v>
      </c>
      <c r="B27" s="72">
        <v>4</v>
      </c>
    </row>
    <row r="28" spans="1:12">
      <c r="A28" s="183" t="s">
        <v>447</v>
      </c>
      <c r="B28" s="72">
        <v>6</v>
      </c>
    </row>
    <row r="29" spans="1:12">
      <c r="A29" s="183" t="s">
        <v>448</v>
      </c>
      <c r="B29" s="72">
        <v>20</v>
      </c>
    </row>
    <row r="30" spans="1:12">
      <c r="A30" s="183" t="s">
        <v>449</v>
      </c>
      <c r="B30" s="72">
        <v>25</v>
      </c>
    </row>
    <row r="31" spans="1:12" ht="15" thickBot="1"/>
    <row r="32" spans="1:12" ht="15" thickBot="1">
      <c r="A32" s="258">
        <v>46379</v>
      </c>
      <c r="B32" s="259" t="s">
        <v>221</v>
      </c>
      <c r="C32" s="72" t="s">
        <v>616</v>
      </c>
    </row>
    <row r="33" spans="1:3">
      <c r="A33" s="260" t="s">
        <v>610</v>
      </c>
      <c r="B33" s="72">
        <v>42</v>
      </c>
      <c r="C33" s="49">
        <v>14790.05</v>
      </c>
    </row>
    <row r="34" spans="1:3">
      <c r="A34" s="169" t="s">
        <v>611</v>
      </c>
      <c r="B34" s="72">
        <v>40</v>
      </c>
      <c r="C34" s="49">
        <v>5985.11</v>
      </c>
    </row>
    <row r="35" spans="1:3">
      <c r="A35" s="169" t="s">
        <v>612</v>
      </c>
      <c r="B35" s="72">
        <v>17</v>
      </c>
      <c r="C35" s="49">
        <v>3810.05</v>
      </c>
    </row>
    <row r="36" spans="1:3">
      <c r="A36" s="169" t="s">
        <v>613</v>
      </c>
      <c r="B36" s="72">
        <v>13</v>
      </c>
      <c r="C36" s="49">
        <v>1697.88</v>
      </c>
    </row>
    <row r="37" spans="1:3">
      <c r="A37" s="169" t="s">
        <v>615</v>
      </c>
      <c r="B37" s="72">
        <v>15</v>
      </c>
      <c r="C37" s="49">
        <v>5272.35</v>
      </c>
    </row>
    <row r="38" spans="1:3" ht="15" thickBot="1">
      <c r="A38" s="170" t="s">
        <v>614</v>
      </c>
      <c r="B38" s="72">
        <v>12</v>
      </c>
      <c r="C38" s="49">
        <v>6460.49</v>
      </c>
    </row>
    <row r="39" spans="1:3">
      <c r="A39" s="955" t="s">
        <v>238</v>
      </c>
      <c r="B39" s="955"/>
      <c r="C39" s="49">
        <f>C33+C34+C35+C36+C37+C38</f>
        <v>38015.93</v>
      </c>
    </row>
    <row r="41" spans="1:3">
      <c r="A41" s="218" t="s">
        <v>673</v>
      </c>
      <c r="B41" s="101" t="s">
        <v>221</v>
      </c>
      <c r="C41" s="101" t="s">
        <v>6</v>
      </c>
    </row>
    <row r="42" spans="1:3">
      <c r="A42" s="218" t="s">
        <v>674</v>
      </c>
      <c r="B42" s="101">
        <v>2</v>
      </c>
      <c r="C42" s="30">
        <v>3742.36</v>
      </c>
    </row>
    <row r="45" spans="1:3">
      <c r="A45" s="382" t="s">
        <v>827</v>
      </c>
      <c r="B45" s="293" t="s">
        <v>411</v>
      </c>
      <c r="C45" s="293" t="s">
        <v>831</v>
      </c>
    </row>
    <row r="46" spans="1:3">
      <c r="A46" s="278" t="s">
        <v>828</v>
      </c>
      <c r="B46" s="3">
        <v>100</v>
      </c>
      <c r="C46" s="788">
        <v>579.25</v>
      </c>
    </row>
    <row r="47" spans="1:3">
      <c r="A47" s="84" t="s">
        <v>829</v>
      </c>
      <c r="B47" s="3">
        <v>25</v>
      </c>
      <c r="C47" s="788"/>
    </row>
  </sheetData>
  <mergeCells count="10">
    <mergeCell ref="C46:C47"/>
    <mergeCell ref="A39:B39"/>
    <mergeCell ref="C22:C23"/>
    <mergeCell ref="K18:L18"/>
    <mergeCell ref="G2:I2"/>
    <mergeCell ref="G11:H11"/>
    <mergeCell ref="K2:L2"/>
    <mergeCell ref="G20:H20"/>
    <mergeCell ref="C19:C20"/>
    <mergeCell ref="G15:H15"/>
  </mergeCells>
  <phoneticPr fontId="3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0CB2-D7A7-4C55-888B-405C9162BA08}">
  <dimension ref="A2:K80"/>
  <sheetViews>
    <sheetView topLeftCell="A57" workbookViewId="0">
      <selection activeCell="E80" sqref="E80"/>
    </sheetView>
  </sheetViews>
  <sheetFormatPr defaultRowHeight="14.4"/>
  <cols>
    <col min="1" max="2" width="37.5546875" bestFit="1" customWidth="1"/>
    <col min="3" max="3" width="16.77734375" customWidth="1"/>
    <col min="4" max="4" width="11.88671875" bestFit="1" customWidth="1"/>
    <col min="5" max="5" width="21.33203125" bestFit="1" customWidth="1"/>
    <col min="6" max="6" width="23" bestFit="1" customWidth="1"/>
    <col min="7" max="7" width="23.109375" bestFit="1" customWidth="1"/>
    <col min="8" max="8" width="22.44140625" bestFit="1" customWidth="1"/>
    <col min="9" max="9" width="16.21875" bestFit="1" customWidth="1"/>
    <col min="10" max="11" width="10.33203125" bestFit="1" customWidth="1"/>
  </cols>
  <sheetData>
    <row r="2" spans="1:11">
      <c r="A2" s="965" t="s">
        <v>74</v>
      </c>
      <c r="B2" s="965"/>
      <c r="C2" s="965"/>
    </row>
    <row r="7" spans="1:11">
      <c r="E7" s="98"/>
      <c r="H7" s="98"/>
    </row>
    <row r="8" spans="1:11">
      <c r="A8" s="896" t="s">
        <v>149</v>
      </c>
      <c r="B8" s="966" t="s">
        <v>221</v>
      </c>
      <c r="C8" s="90" t="s">
        <v>243</v>
      </c>
      <c r="E8" s="90" t="s">
        <v>228</v>
      </c>
      <c r="F8" s="90" t="s">
        <v>161</v>
      </c>
      <c r="G8" s="81" t="s">
        <v>215</v>
      </c>
      <c r="H8" s="81" t="s">
        <v>234</v>
      </c>
    </row>
    <row r="9" spans="1:11">
      <c r="A9" s="896"/>
      <c r="B9" s="966"/>
      <c r="C9" s="81" t="s">
        <v>231</v>
      </c>
      <c r="E9" s="81" t="s">
        <v>239</v>
      </c>
      <c r="F9" s="81" t="s">
        <v>240</v>
      </c>
      <c r="G9" s="81" t="s">
        <v>242</v>
      </c>
      <c r="H9" s="90" t="s">
        <v>241</v>
      </c>
      <c r="I9" s="99"/>
    </row>
    <row r="10" spans="1:11">
      <c r="A10" s="69" t="s">
        <v>216</v>
      </c>
      <c r="B10" s="89">
        <v>35</v>
      </c>
      <c r="C10" s="49">
        <v>1050</v>
      </c>
      <c r="E10" s="49" t="s">
        <v>226</v>
      </c>
      <c r="F10" s="8" t="s">
        <v>226</v>
      </c>
      <c r="G10" s="49">
        <v>539</v>
      </c>
      <c r="H10" s="1" t="s">
        <v>226</v>
      </c>
    </row>
    <row r="11" spans="1:11">
      <c r="A11" s="69" t="s">
        <v>217</v>
      </c>
      <c r="B11" s="89" t="s">
        <v>223</v>
      </c>
      <c r="C11" s="49">
        <v>2800</v>
      </c>
      <c r="E11" s="49" t="s">
        <v>226</v>
      </c>
      <c r="F11" s="8" t="s">
        <v>226</v>
      </c>
      <c r="G11" s="49">
        <v>2156</v>
      </c>
      <c r="H11" s="1" t="s">
        <v>226</v>
      </c>
    </row>
    <row r="12" spans="1:11">
      <c r="A12" s="69" t="s">
        <v>222</v>
      </c>
      <c r="B12" s="89" t="s">
        <v>224</v>
      </c>
      <c r="C12" s="49">
        <v>288</v>
      </c>
      <c r="E12" s="49">
        <v>399.9</v>
      </c>
      <c r="F12" s="8" t="s">
        <v>226</v>
      </c>
      <c r="G12" s="8" t="s">
        <v>226</v>
      </c>
      <c r="H12" s="1" t="s">
        <v>226</v>
      </c>
    </row>
    <row r="13" spans="1:11">
      <c r="A13" s="69" t="s">
        <v>218</v>
      </c>
      <c r="B13" s="89" t="s">
        <v>225</v>
      </c>
      <c r="C13" s="8" t="s">
        <v>226</v>
      </c>
      <c r="E13" s="49" t="s">
        <v>226</v>
      </c>
      <c r="F13" s="8" t="s">
        <v>226</v>
      </c>
      <c r="G13" s="8" t="s">
        <v>226</v>
      </c>
      <c r="H13" s="49">
        <v>10935</v>
      </c>
    </row>
    <row r="14" spans="1:11">
      <c r="A14" s="69" t="s">
        <v>219</v>
      </c>
      <c r="B14" s="89" t="s">
        <v>225</v>
      </c>
      <c r="C14" s="8" t="s">
        <v>226</v>
      </c>
      <c r="E14" s="49" t="s">
        <v>226</v>
      </c>
      <c r="F14" s="8">
        <v>466.12</v>
      </c>
      <c r="G14" s="8" t="s">
        <v>226</v>
      </c>
      <c r="H14" s="49">
        <v>673.5</v>
      </c>
    </row>
    <row r="15" spans="1:11">
      <c r="A15" s="69" t="s">
        <v>220</v>
      </c>
      <c r="B15" s="89">
        <v>2</v>
      </c>
      <c r="C15" s="49">
        <v>120</v>
      </c>
      <c r="E15" s="49" t="s">
        <v>226</v>
      </c>
      <c r="F15" s="8" t="s">
        <v>226</v>
      </c>
      <c r="G15" s="8" t="s">
        <v>226</v>
      </c>
      <c r="H15" s="1" t="s">
        <v>226</v>
      </c>
      <c r="K15" s="100"/>
    </row>
    <row r="16" spans="1:11">
      <c r="A16" s="69" t="s">
        <v>229</v>
      </c>
      <c r="B16" s="89">
        <v>1</v>
      </c>
      <c r="C16" s="49">
        <v>420</v>
      </c>
      <c r="E16" s="49">
        <v>410</v>
      </c>
      <c r="F16" s="8" t="s">
        <v>226</v>
      </c>
      <c r="G16" s="8" t="s">
        <v>226</v>
      </c>
      <c r="H16" s="1" t="s">
        <v>226</v>
      </c>
      <c r="K16" s="16"/>
    </row>
    <row r="17" spans="1:9">
      <c r="B17" s="107" t="s">
        <v>238</v>
      </c>
      <c r="C17" s="96">
        <f>C10+C11+C12+C15+C16</f>
        <v>4678</v>
      </c>
      <c r="E17" s="96">
        <f>E12+E16</f>
        <v>809.9</v>
      </c>
      <c r="F17" s="97">
        <v>466.12</v>
      </c>
      <c r="G17" s="96">
        <f>G10+G11</f>
        <v>2695</v>
      </c>
      <c r="H17" s="96">
        <f>H13+H14</f>
        <v>11608.5</v>
      </c>
    </row>
    <row r="18" spans="1:9">
      <c r="A18" s="104"/>
      <c r="B18" s="104"/>
      <c r="C18" s="104"/>
      <c r="D18" s="104"/>
      <c r="E18" s="104"/>
      <c r="F18" s="104"/>
      <c r="G18" s="104"/>
      <c r="H18" s="104"/>
    </row>
    <row r="19" spans="1:9">
      <c r="A19" s="808" t="s">
        <v>149</v>
      </c>
      <c r="B19" s="826" t="s">
        <v>221</v>
      </c>
      <c r="C19" s="105" t="s">
        <v>243</v>
      </c>
      <c r="D19" s="109" t="s">
        <v>180</v>
      </c>
      <c r="E19" s="105" t="s">
        <v>227</v>
      </c>
      <c r="F19" s="110" t="s">
        <v>263</v>
      </c>
      <c r="G19" s="105" t="s">
        <v>215</v>
      </c>
      <c r="H19" s="108" t="s">
        <v>261</v>
      </c>
      <c r="I19" s="112"/>
    </row>
    <row r="20" spans="1:9" ht="15.6">
      <c r="A20" s="808"/>
      <c r="B20" s="826"/>
      <c r="C20" s="105" t="s">
        <v>231</v>
      </c>
      <c r="D20" s="105" t="s">
        <v>181</v>
      </c>
      <c r="E20" s="105" t="s">
        <v>230</v>
      </c>
      <c r="F20" s="105" t="s">
        <v>264</v>
      </c>
      <c r="G20" s="111" t="s">
        <v>242</v>
      </c>
      <c r="H20" s="105" t="s">
        <v>262</v>
      </c>
      <c r="I20" s="113"/>
    </row>
    <row r="21" spans="1:9">
      <c r="A21" s="81" t="s">
        <v>244</v>
      </c>
      <c r="B21" s="103">
        <v>3</v>
      </c>
      <c r="C21" s="114">
        <v>212.07</v>
      </c>
      <c r="D21" s="30">
        <v>142.32</v>
      </c>
      <c r="E21" s="30">
        <v>158.4</v>
      </c>
      <c r="F21" s="30">
        <v>111.54</v>
      </c>
      <c r="G21" s="30">
        <v>123</v>
      </c>
      <c r="H21" s="30">
        <v>150</v>
      </c>
    </row>
    <row r="22" spans="1:9">
      <c r="A22" s="81" t="s">
        <v>245</v>
      </c>
      <c r="B22" s="103">
        <v>1</v>
      </c>
      <c r="C22" s="114">
        <v>76.83</v>
      </c>
      <c r="D22" s="30">
        <v>58.06</v>
      </c>
      <c r="E22" s="30">
        <v>79.3</v>
      </c>
      <c r="F22" s="30">
        <v>46.47</v>
      </c>
      <c r="G22" s="30">
        <v>51</v>
      </c>
      <c r="H22" s="30">
        <v>55</v>
      </c>
    </row>
    <row r="23" spans="1:9">
      <c r="A23" s="81" t="s">
        <v>246</v>
      </c>
      <c r="B23" s="103">
        <v>2</v>
      </c>
      <c r="C23" s="114" t="s">
        <v>226</v>
      </c>
      <c r="D23" s="30">
        <v>62.14</v>
      </c>
      <c r="E23" s="30">
        <v>70.400000000000006</v>
      </c>
      <c r="F23" s="30">
        <v>49.72</v>
      </c>
      <c r="G23" s="30" t="s">
        <v>226</v>
      </c>
      <c r="H23" s="30">
        <v>60</v>
      </c>
    </row>
    <row r="24" spans="1:9">
      <c r="A24" s="81" t="s">
        <v>247</v>
      </c>
      <c r="B24" s="103" t="s">
        <v>248</v>
      </c>
      <c r="C24" s="114" t="s">
        <v>226</v>
      </c>
      <c r="D24" s="30">
        <v>180</v>
      </c>
      <c r="E24" s="115" t="s">
        <v>226</v>
      </c>
      <c r="F24" s="115" t="s">
        <v>226</v>
      </c>
      <c r="G24" s="115" t="s">
        <v>226</v>
      </c>
      <c r="H24" s="115" t="s">
        <v>226</v>
      </c>
    </row>
    <row r="25" spans="1:9">
      <c r="A25" s="81" t="s">
        <v>249</v>
      </c>
      <c r="B25" s="103">
        <v>2</v>
      </c>
      <c r="C25" s="114" t="s">
        <v>226</v>
      </c>
      <c r="D25" s="116">
        <v>192.86</v>
      </c>
      <c r="E25" s="114" t="s">
        <v>226</v>
      </c>
      <c r="F25" s="114" t="s">
        <v>226</v>
      </c>
      <c r="G25" s="114" t="s">
        <v>226</v>
      </c>
      <c r="H25" s="114" t="s">
        <v>226</v>
      </c>
    </row>
    <row r="26" spans="1:9">
      <c r="A26" s="81" t="s">
        <v>250</v>
      </c>
      <c r="B26" s="103" t="s">
        <v>251</v>
      </c>
      <c r="C26" s="114" t="s">
        <v>226</v>
      </c>
      <c r="D26" s="30">
        <v>39.68</v>
      </c>
      <c r="E26" s="115" t="s">
        <v>226</v>
      </c>
      <c r="F26" s="115" t="s">
        <v>226</v>
      </c>
      <c r="G26" s="115" t="s">
        <v>226</v>
      </c>
      <c r="H26" s="115" t="s">
        <v>226</v>
      </c>
    </row>
    <row r="27" spans="1:9">
      <c r="A27" s="81" t="s">
        <v>252</v>
      </c>
      <c r="B27" s="103">
        <v>2</v>
      </c>
      <c r="C27" s="114">
        <v>386.1</v>
      </c>
      <c r="D27" s="30">
        <v>279.3</v>
      </c>
      <c r="E27" s="30">
        <v>393.6</v>
      </c>
      <c r="F27" s="30">
        <v>147.78</v>
      </c>
      <c r="G27" s="30">
        <v>163.19999999999999</v>
      </c>
      <c r="H27" s="30">
        <v>260</v>
      </c>
    </row>
    <row r="28" spans="1:9">
      <c r="A28" s="81" t="s">
        <v>253</v>
      </c>
      <c r="B28" s="103" t="s">
        <v>254</v>
      </c>
      <c r="C28" s="114">
        <v>600</v>
      </c>
      <c r="D28" s="30">
        <v>360</v>
      </c>
      <c r="E28" s="30">
        <v>654</v>
      </c>
      <c r="F28" s="30">
        <v>193.44</v>
      </c>
      <c r="G28" s="30" t="s">
        <v>226</v>
      </c>
      <c r="H28" s="30"/>
    </row>
    <row r="29" spans="1:9">
      <c r="A29" s="81" t="s">
        <v>255</v>
      </c>
      <c r="B29" s="103">
        <v>2</v>
      </c>
      <c r="C29" s="114">
        <v>55.88</v>
      </c>
      <c r="D29" s="30">
        <v>134</v>
      </c>
      <c r="E29" s="30">
        <v>86.4</v>
      </c>
      <c r="F29" s="115" t="s">
        <v>226</v>
      </c>
      <c r="G29" s="115" t="s">
        <v>226</v>
      </c>
      <c r="H29" s="30">
        <v>38</v>
      </c>
    </row>
    <row r="30" spans="1:9">
      <c r="A30" s="81" t="s">
        <v>256</v>
      </c>
      <c r="B30" s="103">
        <v>2</v>
      </c>
      <c r="C30" s="114">
        <v>76.44</v>
      </c>
      <c r="D30" s="30">
        <v>196</v>
      </c>
      <c r="E30" s="30">
        <v>124.8</v>
      </c>
      <c r="F30" s="115" t="s">
        <v>226</v>
      </c>
      <c r="G30" s="115" t="s">
        <v>226</v>
      </c>
      <c r="H30" s="30">
        <v>60</v>
      </c>
    </row>
    <row r="31" spans="1:9">
      <c r="A31" s="81" t="s">
        <v>257</v>
      </c>
      <c r="B31" s="103">
        <v>1</v>
      </c>
      <c r="C31" s="114" t="s">
        <v>226</v>
      </c>
      <c r="D31" s="114" t="s">
        <v>226</v>
      </c>
      <c r="E31" s="114" t="s">
        <v>226</v>
      </c>
      <c r="F31" s="114" t="s">
        <v>226</v>
      </c>
      <c r="G31" s="114" t="s">
        <v>226</v>
      </c>
      <c r="H31" s="116"/>
    </row>
    <row r="32" spans="1:9">
      <c r="A32" s="81" t="s">
        <v>258</v>
      </c>
      <c r="B32" s="103">
        <v>2</v>
      </c>
      <c r="C32" s="114">
        <v>50</v>
      </c>
      <c r="D32" s="30">
        <v>21.28</v>
      </c>
      <c r="E32" s="30">
        <v>43.2</v>
      </c>
      <c r="F32" s="115" t="s">
        <v>226</v>
      </c>
      <c r="G32" s="115" t="s">
        <v>226</v>
      </c>
      <c r="H32" s="30">
        <v>42</v>
      </c>
    </row>
    <row r="33" spans="1:8">
      <c r="A33" s="81" t="s">
        <v>259</v>
      </c>
      <c r="B33" s="103">
        <v>2</v>
      </c>
      <c r="C33" s="114">
        <v>40</v>
      </c>
      <c r="D33" s="30">
        <v>20.52</v>
      </c>
      <c r="E33" s="30">
        <v>50</v>
      </c>
      <c r="F33" s="115" t="s">
        <v>226</v>
      </c>
      <c r="G33" s="115" t="s">
        <v>226</v>
      </c>
      <c r="H33" s="30">
        <v>36</v>
      </c>
    </row>
    <row r="34" spans="1:8">
      <c r="B34" s="102" t="s">
        <v>260</v>
      </c>
      <c r="C34" s="106">
        <f>C21+C22+C27+C28+C29+C30+C32+C33</f>
        <v>1497.3200000000002</v>
      </c>
      <c r="D34" s="106">
        <f>D21+D22+D23+D24+D26+D27+D28+D29+D30+D32+D33</f>
        <v>1493.3</v>
      </c>
      <c r="E34" s="106">
        <f>E21+E22+E23+E27+E28+E29+E30+E32+E33</f>
        <v>1660.1000000000001</v>
      </c>
      <c r="F34" s="106">
        <f>F21+F22+F23+F27+F28</f>
        <v>548.95000000000005</v>
      </c>
      <c r="G34" s="106">
        <f>G21+G22+G27</f>
        <v>337.2</v>
      </c>
      <c r="H34" s="106">
        <f>H21+H22+H23+H27+H29+H30+H32+H33</f>
        <v>701</v>
      </c>
    </row>
    <row r="37" spans="1:8">
      <c r="A37" s="808" t="s">
        <v>149</v>
      </c>
      <c r="B37" s="826" t="s">
        <v>221</v>
      </c>
      <c r="C37" s="105" t="s">
        <v>243</v>
      </c>
      <c r="D37" s="109" t="s">
        <v>180</v>
      </c>
      <c r="E37" s="105" t="s">
        <v>227</v>
      </c>
      <c r="F37" s="110" t="s">
        <v>263</v>
      </c>
      <c r="G37" s="105" t="s">
        <v>215</v>
      </c>
      <c r="H37" s="108" t="s">
        <v>261</v>
      </c>
    </row>
    <row r="38" spans="1:8">
      <c r="A38" s="808"/>
      <c r="B38" s="826"/>
      <c r="C38" s="105" t="s">
        <v>231</v>
      </c>
      <c r="D38" s="105" t="s">
        <v>181</v>
      </c>
      <c r="E38" s="105" t="s">
        <v>230</v>
      </c>
      <c r="F38" s="105" t="s">
        <v>264</v>
      </c>
      <c r="G38" s="111" t="s">
        <v>242</v>
      </c>
      <c r="H38" s="105" t="s">
        <v>262</v>
      </c>
    </row>
    <row r="39" spans="1:8">
      <c r="A39" s="81" t="s">
        <v>244</v>
      </c>
      <c r="B39" s="103">
        <v>3</v>
      </c>
      <c r="C39" s="114">
        <v>212.07</v>
      </c>
      <c r="D39" s="30">
        <v>142.32</v>
      </c>
      <c r="E39" s="30">
        <v>158.4</v>
      </c>
      <c r="F39" s="30">
        <v>111.54</v>
      </c>
      <c r="G39" s="30">
        <v>123</v>
      </c>
      <c r="H39" s="30">
        <v>150</v>
      </c>
    </row>
    <row r="40" spans="1:8">
      <c r="A40" s="81" t="s">
        <v>245</v>
      </c>
      <c r="B40" s="103">
        <v>1</v>
      </c>
      <c r="C40" s="114">
        <v>76.8</v>
      </c>
      <c r="D40" s="30">
        <v>58.06</v>
      </c>
      <c r="E40" s="30">
        <v>79.3</v>
      </c>
      <c r="F40" s="30">
        <v>46.47</v>
      </c>
      <c r="G40" s="30">
        <v>51</v>
      </c>
      <c r="H40" s="30">
        <v>55</v>
      </c>
    </row>
    <row r="41" spans="1:8">
      <c r="A41" s="81" t="s">
        <v>246</v>
      </c>
      <c r="B41" s="103">
        <v>1</v>
      </c>
      <c r="C41" s="114">
        <v>70.400000000000006</v>
      </c>
      <c r="D41" s="30">
        <v>62.14</v>
      </c>
      <c r="E41" s="30">
        <v>70.400000000000006</v>
      </c>
      <c r="F41" s="30">
        <v>24.86</v>
      </c>
      <c r="G41" s="30" t="s">
        <v>226</v>
      </c>
      <c r="H41" s="30">
        <v>30</v>
      </c>
    </row>
    <row r="42" spans="1:8">
      <c r="A42" s="81" t="s">
        <v>247</v>
      </c>
      <c r="B42" s="103" t="s">
        <v>248</v>
      </c>
      <c r="C42" s="114" t="s">
        <v>226</v>
      </c>
      <c r="D42" s="30">
        <v>180</v>
      </c>
      <c r="E42" s="115" t="s">
        <v>226</v>
      </c>
      <c r="F42" s="115" t="s">
        <v>226</v>
      </c>
      <c r="G42" s="115" t="s">
        <v>226</v>
      </c>
      <c r="H42" s="115" t="s">
        <v>226</v>
      </c>
    </row>
    <row r="43" spans="1:8">
      <c r="A43" s="81" t="s">
        <v>250</v>
      </c>
      <c r="B43" s="103" t="s">
        <v>251</v>
      </c>
      <c r="C43" s="114" t="s">
        <v>226</v>
      </c>
      <c r="D43" s="30">
        <v>39.68</v>
      </c>
      <c r="E43" s="115" t="s">
        <v>226</v>
      </c>
      <c r="F43" s="115" t="s">
        <v>226</v>
      </c>
      <c r="G43" s="115" t="s">
        <v>226</v>
      </c>
      <c r="H43" s="115" t="s">
        <v>226</v>
      </c>
    </row>
    <row r="44" spans="1:8">
      <c r="A44" s="81" t="s">
        <v>255</v>
      </c>
      <c r="B44" s="103">
        <v>1</v>
      </c>
      <c r="C44" s="114">
        <v>76.44</v>
      </c>
      <c r="D44" s="30">
        <v>134</v>
      </c>
      <c r="E44" s="115" t="s">
        <v>226</v>
      </c>
      <c r="F44" s="115" t="s">
        <v>226</v>
      </c>
      <c r="G44" s="115" t="s">
        <v>226</v>
      </c>
      <c r="H44" s="30">
        <v>19</v>
      </c>
    </row>
    <row r="45" spans="1:8">
      <c r="A45" s="81" t="s">
        <v>256</v>
      </c>
      <c r="B45" s="103">
        <v>2</v>
      </c>
      <c r="C45" s="114">
        <v>124.8</v>
      </c>
      <c r="D45" s="30">
        <v>196</v>
      </c>
      <c r="E45" s="30">
        <v>124.8</v>
      </c>
      <c r="F45" s="115" t="s">
        <v>226</v>
      </c>
      <c r="G45" s="115" t="s">
        <v>226</v>
      </c>
      <c r="H45" s="30">
        <v>60</v>
      </c>
    </row>
    <row r="46" spans="1:8">
      <c r="A46" s="81" t="s">
        <v>258</v>
      </c>
      <c r="B46" s="103">
        <v>1</v>
      </c>
      <c r="C46" s="114">
        <v>43.2</v>
      </c>
      <c r="D46" s="30">
        <v>21.28</v>
      </c>
      <c r="E46" s="30">
        <v>43.2</v>
      </c>
      <c r="F46" s="115" t="s">
        <v>226</v>
      </c>
      <c r="G46" s="115" t="s">
        <v>226</v>
      </c>
      <c r="H46" s="30">
        <v>21</v>
      </c>
    </row>
    <row r="47" spans="1:8">
      <c r="A47" s="81" t="s">
        <v>259</v>
      </c>
      <c r="B47" s="103">
        <v>2</v>
      </c>
      <c r="C47" s="114">
        <v>50</v>
      </c>
      <c r="D47" s="30">
        <v>20.52</v>
      </c>
      <c r="E47" s="30">
        <v>50</v>
      </c>
      <c r="F47" s="115" t="s">
        <v>226</v>
      </c>
      <c r="G47" s="115" t="s">
        <v>226</v>
      </c>
      <c r="H47" s="30">
        <v>36</v>
      </c>
    </row>
    <row r="48" spans="1:8">
      <c r="B48" s="102" t="s">
        <v>260</v>
      </c>
      <c r="C48" s="106">
        <f>C39+C40+C44+C45+C46+C47</f>
        <v>583.31000000000006</v>
      </c>
      <c r="D48" s="106">
        <f>D39+D40+D41+D42+D43+D44+D45+D46+D47</f>
        <v>854</v>
      </c>
      <c r="E48" s="106">
        <f>E39+E40+E41+E45+E46+E47</f>
        <v>526.1</v>
      </c>
      <c r="F48" s="106">
        <f>F39+F40+F41</f>
        <v>182.87</v>
      </c>
      <c r="G48" s="106">
        <f>G39+G40</f>
        <v>174</v>
      </c>
      <c r="H48" s="106">
        <f>H39+H40+H41+H44+H45+H46+H47</f>
        <v>371</v>
      </c>
    </row>
    <row r="49" spans="2:8">
      <c r="F49" s="122"/>
      <c r="G49" s="14"/>
      <c r="H49" s="14"/>
    </row>
    <row r="51" spans="2:8">
      <c r="B51" s="808" t="s">
        <v>149</v>
      </c>
      <c r="C51" s="826" t="s">
        <v>221</v>
      </c>
      <c r="D51" s="109" t="s">
        <v>180</v>
      </c>
      <c r="E51" s="108" t="s">
        <v>261</v>
      </c>
      <c r="F51" s="105" t="s">
        <v>243</v>
      </c>
    </row>
    <row r="52" spans="2:8">
      <c r="B52" s="808"/>
      <c r="C52" s="826"/>
      <c r="D52" s="105" t="s">
        <v>181</v>
      </c>
      <c r="E52" s="105" t="s">
        <v>262</v>
      </c>
      <c r="F52" s="105" t="s">
        <v>231</v>
      </c>
    </row>
    <row r="53" spans="2:8">
      <c r="B53" s="81" t="s">
        <v>244</v>
      </c>
      <c r="C53" s="103">
        <v>3</v>
      </c>
      <c r="D53" s="30">
        <v>142.32</v>
      </c>
      <c r="E53" s="30">
        <v>150</v>
      </c>
      <c r="F53" s="114">
        <v>212.07</v>
      </c>
      <c r="H53">
        <f>371+180+39.68</f>
        <v>590.67999999999995</v>
      </c>
    </row>
    <row r="54" spans="2:8">
      <c r="B54" s="81" t="s">
        <v>245</v>
      </c>
      <c r="C54" s="103">
        <v>1</v>
      </c>
      <c r="D54" s="30">
        <v>58.06</v>
      </c>
      <c r="E54" s="30">
        <v>55</v>
      </c>
      <c r="F54" s="114">
        <v>76.8</v>
      </c>
    </row>
    <row r="55" spans="2:8">
      <c r="B55" s="81" t="s">
        <v>246</v>
      </c>
      <c r="C55" s="103">
        <v>1</v>
      </c>
      <c r="D55" s="30">
        <v>62.14</v>
      </c>
      <c r="E55" s="30">
        <v>30</v>
      </c>
      <c r="F55" s="114">
        <v>70.400000000000006</v>
      </c>
    </row>
    <row r="56" spans="2:8">
      <c r="B56" s="81" t="s">
        <v>247</v>
      </c>
      <c r="C56" s="103" t="s">
        <v>248</v>
      </c>
      <c r="D56" s="30">
        <v>180</v>
      </c>
      <c r="E56" s="115" t="s">
        <v>226</v>
      </c>
      <c r="F56" s="114" t="s">
        <v>226</v>
      </c>
    </row>
    <row r="57" spans="2:8">
      <c r="B57" s="81" t="s">
        <v>250</v>
      </c>
      <c r="C57" s="103" t="s">
        <v>251</v>
      </c>
      <c r="D57" s="30">
        <v>39.68</v>
      </c>
      <c r="E57" s="115" t="s">
        <v>226</v>
      </c>
      <c r="F57" s="114" t="s">
        <v>226</v>
      </c>
    </row>
    <row r="58" spans="2:8">
      <c r="B58" s="81" t="s">
        <v>255</v>
      </c>
      <c r="C58" s="103">
        <v>1</v>
      </c>
      <c r="D58" s="30">
        <v>134</v>
      </c>
      <c r="E58" s="30">
        <v>19</v>
      </c>
      <c r="F58" s="114">
        <v>76.44</v>
      </c>
    </row>
    <row r="59" spans="2:8">
      <c r="B59" s="81" t="s">
        <v>256</v>
      </c>
      <c r="C59" s="103">
        <v>2</v>
      </c>
      <c r="D59" s="30">
        <v>196</v>
      </c>
      <c r="E59" s="30">
        <v>60</v>
      </c>
      <c r="F59" s="114">
        <v>124.8</v>
      </c>
    </row>
    <row r="60" spans="2:8">
      <c r="B60" s="81" t="s">
        <v>258</v>
      </c>
      <c r="C60" s="103">
        <v>1</v>
      </c>
      <c r="D60" s="30">
        <v>21.28</v>
      </c>
      <c r="E60" s="30">
        <v>21</v>
      </c>
      <c r="F60" s="114">
        <v>43.2</v>
      </c>
    </row>
    <row r="61" spans="2:8">
      <c r="B61" s="81" t="s">
        <v>259</v>
      </c>
      <c r="C61" s="103">
        <v>2</v>
      </c>
      <c r="D61" s="30">
        <v>20.52</v>
      </c>
      <c r="E61" s="30">
        <v>36</v>
      </c>
      <c r="F61" s="114">
        <v>50</v>
      </c>
    </row>
    <row r="62" spans="2:8">
      <c r="C62" s="102" t="s">
        <v>260</v>
      </c>
      <c r="D62" s="106">
        <f>D53+D54+D55+D56+D57+D58+D59+D60+D61</f>
        <v>854</v>
      </c>
      <c r="E62" s="106">
        <f>E53+E54+E55+E58+E59+E60+E61</f>
        <v>371</v>
      </c>
      <c r="F62" s="106">
        <f>F53+F54+F58+F59+F60+F61</f>
        <v>583.31000000000006</v>
      </c>
    </row>
    <row r="63" spans="2:8">
      <c r="F63" t="s">
        <v>304</v>
      </c>
    </row>
    <row r="64" spans="2:8">
      <c r="B64" s="183" t="s">
        <v>443</v>
      </c>
      <c r="C64" s="183" t="s">
        <v>221</v>
      </c>
      <c r="D64" s="117" t="s">
        <v>161</v>
      </c>
      <c r="E64" s="117" t="s">
        <v>450</v>
      </c>
      <c r="F64" s="117" t="s">
        <v>451</v>
      </c>
    </row>
    <row r="65" spans="2:6">
      <c r="B65" s="183" t="s">
        <v>445</v>
      </c>
      <c r="C65" s="72">
        <v>12</v>
      </c>
      <c r="D65" s="49"/>
      <c r="E65" s="49">
        <v>899.28</v>
      </c>
      <c r="F65" s="49">
        <v>852</v>
      </c>
    </row>
    <row r="66" spans="2:6">
      <c r="B66" s="183" t="s">
        <v>446</v>
      </c>
      <c r="C66" s="72">
        <v>4</v>
      </c>
      <c r="D66" s="49">
        <v>105.24</v>
      </c>
      <c r="E66" s="49">
        <v>55.96</v>
      </c>
      <c r="F66" s="49">
        <v>67.599999999999994</v>
      </c>
    </row>
    <row r="67" spans="2:6">
      <c r="B67" s="183" t="s">
        <v>447</v>
      </c>
      <c r="C67" s="72">
        <v>6</v>
      </c>
      <c r="D67" s="49"/>
      <c r="E67" s="49">
        <v>65.28</v>
      </c>
      <c r="F67" s="49">
        <v>59.4</v>
      </c>
    </row>
    <row r="68" spans="2:6">
      <c r="B68" s="183" t="s">
        <v>448</v>
      </c>
      <c r="C68" s="72">
        <v>20</v>
      </c>
      <c r="D68" s="49">
        <v>68.86</v>
      </c>
      <c r="E68" s="49">
        <v>99.8</v>
      </c>
      <c r="F68" s="49">
        <v>140</v>
      </c>
    </row>
    <row r="69" spans="2:6">
      <c r="B69" s="183" t="s">
        <v>449</v>
      </c>
      <c r="C69" s="72">
        <v>25</v>
      </c>
      <c r="D69" s="49"/>
      <c r="E69" s="49">
        <v>149.75</v>
      </c>
      <c r="F69" s="49">
        <v>112.5</v>
      </c>
    </row>
    <row r="70" spans="2:6">
      <c r="C70" s="190" t="s">
        <v>260</v>
      </c>
      <c r="D70" s="191">
        <f>D65+D66+D67+D68+D69</f>
        <v>174.1</v>
      </c>
      <c r="E70" s="191">
        <f>E65+E66+E67+E68+E69</f>
        <v>1270.07</v>
      </c>
      <c r="F70" s="191">
        <f>F65+F66+F67+F68+F69</f>
        <v>1231.5</v>
      </c>
    </row>
    <row r="72" spans="2:6" ht="15" thickBot="1">
      <c r="F72" t="s">
        <v>452</v>
      </c>
    </row>
    <row r="73" spans="2:6">
      <c r="B73" s="211" t="s">
        <v>464</v>
      </c>
      <c r="C73" s="175" t="s">
        <v>465</v>
      </c>
      <c r="D73" s="175" t="s">
        <v>466</v>
      </c>
      <c r="E73" s="208" t="s">
        <v>477</v>
      </c>
    </row>
    <row r="74" spans="2:6" ht="15" thickBot="1">
      <c r="B74" s="212" t="s">
        <v>478</v>
      </c>
      <c r="C74" s="209">
        <v>950</v>
      </c>
      <c r="D74" s="209">
        <v>999.9</v>
      </c>
      <c r="E74" s="210">
        <v>1133.4000000000001</v>
      </c>
    </row>
    <row r="77" spans="2:6">
      <c r="B77" s="117"/>
    </row>
    <row r="78" spans="2:6">
      <c r="B78" s="117"/>
    </row>
    <row r="79" spans="2:6">
      <c r="B79" s="117"/>
    </row>
    <row r="80" spans="2:6">
      <c r="B80" s="117"/>
    </row>
  </sheetData>
  <mergeCells count="9">
    <mergeCell ref="B51:B52"/>
    <mergeCell ref="C51:C52"/>
    <mergeCell ref="A2:C2"/>
    <mergeCell ref="A8:A9"/>
    <mergeCell ref="B8:B9"/>
    <mergeCell ref="A19:A20"/>
    <mergeCell ref="B19:B20"/>
    <mergeCell ref="A37:A38"/>
    <mergeCell ref="B37:B3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6A09-DD08-438A-875F-65929A0E8814}">
  <dimension ref="A1:F31"/>
  <sheetViews>
    <sheetView topLeftCell="A33" workbookViewId="0">
      <selection activeCell="J27" sqref="J27"/>
    </sheetView>
  </sheetViews>
  <sheetFormatPr defaultRowHeight="14.4"/>
  <cols>
    <col min="1" max="1" width="26.21875" bestFit="1" customWidth="1"/>
    <col min="2" max="2" width="12.6640625" bestFit="1" customWidth="1"/>
    <col min="3" max="3" width="13.77734375" bestFit="1" customWidth="1"/>
    <col min="4" max="4" width="11.88671875" bestFit="1" customWidth="1"/>
    <col min="5" max="5" width="13.5546875" bestFit="1" customWidth="1"/>
  </cols>
  <sheetData>
    <row r="1" spans="1:4" ht="15" thickBot="1">
      <c r="A1" s="86">
        <v>45975</v>
      </c>
    </row>
    <row r="2" spans="1:4">
      <c r="A2" s="87" t="s">
        <v>210</v>
      </c>
    </row>
    <row r="3" spans="1:4" ht="15" thickBot="1">
      <c r="A3" s="88" t="s">
        <v>211</v>
      </c>
    </row>
    <row r="4" spans="1:4" ht="15" thickBot="1">
      <c r="A4" s="972" t="s">
        <v>209</v>
      </c>
      <c r="B4" s="973"/>
      <c r="C4" s="974"/>
      <c r="D4" s="970" t="s">
        <v>179</v>
      </c>
    </row>
    <row r="5" spans="1:4">
      <c r="A5" s="2" t="s">
        <v>0</v>
      </c>
      <c r="B5" s="973" t="s">
        <v>1</v>
      </c>
      <c r="C5" s="974"/>
      <c r="D5" s="971"/>
    </row>
    <row r="6" spans="1:4">
      <c r="A6" s="3" t="s">
        <v>2</v>
      </c>
      <c r="B6" s="798" t="s">
        <v>3</v>
      </c>
      <c r="C6" s="798"/>
      <c r="D6" s="30">
        <v>4617</v>
      </c>
    </row>
    <row r="7" spans="1:4">
      <c r="A7" s="3" t="s">
        <v>4</v>
      </c>
      <c r="B7" s="798" t="s">
        <v>5</v>
      </c>
      <c r="C7" s="798"/>
      <c r="D7" s="30">
        <v>5254.7</v>
      </c>
    </row>
    <row r="8" spans="1:4">
      <c r="A8" s="3" t="s">
        <v>6</v>
      </c>
      <c r="B8" s="798" t="s">
        <v>7</v>
      </c>
      <c r="C8" s="798"/>
      <c r="D8" s="30">
        <v>5591.8</v>
      </c>
    </row>
    <row r="9" spans="1:4">
      <c r="A9" s="3" t="s">
        <v>213</v>
      </c>
      <c r="B9" s="798" t="s">
        <v>212</v>
      </c>
      <c r="C9" s="798"/>
      <c r="D9" s="30"/>
    </row>
    <row r="11" spans="1:4" ht="15" thickBot="1"/>
    <row r="12" spans="1:4">
      <c r="A12" s="226" t="s">
        <v>214</v>
      </c>
      <c r="B12" s="227" t="s">
        <v>179</v>
      </c>
      <c r="C12" s="228" t="s">
        <v>56</v>
      </c>
    </row>
    <row r="13" spans="1:4">
      <c r="A13" s="94" t="s">
        <v>6</v>
      </c>
      <c r="B13" s="30">
        <v>458.33</v>
      </c>
      <c r="C13" s="35">
        <v>220</v>
      </c>
    </row>
    <row r="14" spans="1:4">
      <c r="A14" s="94" t="s">
        <v>235</v>
      </c>
      <c r="B14" s="30">
        <v>833</v>
      </c>
      <c r="C14" s="39"/>
    </row>
    <row r="15" spans="1:4">
      <c r="A15" s="94" t="s">
        <v>236</v>
      </c>
      <c r="B15" s="30">
        <v>800</v>
      </c>
      <c r="C15" s="39"/>
    </row>
    <row r="16" spans="1:4" ht="15" thickBot="1">
      <c r="A16" s="95" t="s">
        <v>237</v>
      </c>
      <c r="B16" s="41">
        <v>715.7</v>
      </c>
      <c r="C16" s="40"/>
    </row>
    <row r="18" spans="1:6" ht="15" thickBot="1">
      <c r="A18" s="154">
        <v>45996</v>
      </c>
    </row>
    <row r="19" spans="1:6">
      <c r="A19" s="87" t="s">
        <v>210</v>
      </c>
    </row>
    <row r="20" spans="1:6" ht="15" thickBot="1">
      <c r="A20" s="88" t="s">
        <v>479</v>
      </c>
    </row>
    <row r="21" spans="1:6" ht="15" thickBot="1"/>
    <row r="22" spans="1:6" ht="15" thickBot="1">
      <c r="A22" s="967" t="s">
        <v>471</v>
      </c>
      <c r="B22" s="231" t="s">
        <v>472</v>
      </c>
      <c r="C22" s="203" t="s">
        <v>473</v>
      </c>
      <c r="D22" s="203" t="s">
        <v>423</v>
      </c>
      <c r="E22" s="203" t="s">
        <v>474</v>
      </c>
      <c r="F22" s="204" t="s">
        <v>213</v>
      </c>
    </row>
    <row r="23" spans="1:6">
      <c r="A23" s="968"/>
      <c r="B23" s="49">
        <v>1776</v>
      </c>
      <c r="C23" s="49">
        <v>1656.18</v>
      </c>
      <c r="D23" s="49">
        <v>1775.4</v>
      </c>
      <c r="E23" s="49">
        <v>2050</v>
      </c>
      <c r="F23" s="49"/>
    </row>
    <row r="24" spans="1:6" ht="15" thickBot="1">
      <c r="A24" s="969"/>
      <c r="B24" t="s">
        <v>475</v>
      </c>
      <c r="C24" t="s">
        <v>475</v>
      </c>
      <c r="D24" t="s">
        <v>476</v>
      </c>
      <c r="E24" t="s">
        <v>476</v>
      </c>
    </row>
    <row r="25" spans="1:6">
      <c r="E25" s="14"/>
    </row>
    <row r="26" spans="1:6">
      <c r="A26" s="218" t="s">
        <v>673</v>
      </c>
      <c r="B26" s="101" t="s">
        <v>221</v>
      </c>
      <c r="C26" s="101" t="s">
        <v>6</v>
      </c>
    </row>
    <row r="27" spans="1:6">
      <c r="A27" s="218" t="s">
        <v>674</v>
      </c>
      <c r="B27" s="101">
        <v>2</v>
      </c>
      <c r="C27" s="30">
        <v>3742.36</v>
      </c>
    </row>
    <row r="29" spans="1:6">
      <c r="A29" s="382" t="s">
        <v>826</v>
      </c>
      <c r="B29" s="293" t="s">
        <v>411</v>
      </c>
      <c r="C29" s="293" t="s">
        <v>834</v>
      </c>
      <c r="D29" s="293" t="s">
        <v>830</v>
      </c>
    </row>
    <row r="30" spans="1:6">
      <c r="A30" s="84" t="s">
        <v>835</v>
      </c>
      <c r="B30" s="100">
        <v>20</v>
      </c>
      <c r="C30" s="30">
        <v>740</v>
      </c>
      <c r="D30" s="30">
        <v>724.4</v>
      </c>
    </row>
    <row r="31" spans="1:6">
      <c r="C31" s="1" t="s">
        <v>833</v>
      </c>
    </row>
  </sheetData>
  <mergeCells count="8">
    <mergeCell ref="A22:A24"/>
    <mergeCell ref="D4:D5"/>
    <mergeCell ref="B9:C9"/>
    <mergeCell ref="A4:C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3BE9-9071-429A-BB1D-85F57306E32E}">
  <dimension ref="A1:G143"/>
  <sheetViews>
    <sheetView topLeftCell="A132" workbookViewId="0">
      <selection activeCell="E21" sqref="E21"/>
    </sheetView>
  </sheetViews>
  <sheetFormatPr defaultRowHeight="14.4"/>
  <cols>
    <col min="1" max="1" width="48.5546875" bestFit="1" customWidth="1"/>
    <col min="2" max="2" width="27.33203125" customWidth="1"/>
    <col min="3" max="3" width="29.109375" bestFit="1" customWidth="1"/>
    <col min="4" max="4" width="31.5546875" bestFit="1" customWidth="1"/>
    <col min="5" max="5" width="38" bestFit="1" customWidth="1"/>
    <col min="6" max="6" width="23.109375" bestFit="1" customWidth="1"/>
    <col min="7" max="7" width="13.44140625" bestFit="1" customWidth="1"/>
    <col min="9" max="9" width="24.77734375" customWidth="1"/>
    <col min="10" max="10" width="21.33203125" bestFit="1" customWidth="1"/>
    <col min="11" max="11" width="29.109375" bestFit="1" customWidth="1"/>
    <col min="12" max="12" width="29.33203125" bestFit="1" customWidth="1"/>
  </cols>
  <sheetData>
    <row r="1" spans="1:6" ht="15" thickBot="1">
      <c r="A1" s="78" t="s">
        <v>42</v>
      </c>
      <c r="B1" s="79"/>
      <c r="C1" s="79"/>
      <c r="D1" s="79"/>
      <c r="E1" s="80"/>
    </row>
    <row r="2" spans="1:6">
      <c r="A2" s="21" t="s">
        <v>0</v>
      </c>
      <c r="B2" s="21" t="s">
        <v>41</v>
      </c>
    </row>
    <row r="3" spans="1:6">
      <c r="A3" s="16" t="s">
        <v>40</v>
      </c>
      <c r="B3" s="17">
        <v>45923</v>
      </c>
      <c r="C3" t="s">
        <v>26</v>
      </c>
    </row>
    <row r="4" spans="1:6">
      <c r="A4" s="16" t="s">
        <v>39</v>
      </c>
      <c r="B4" s="17">
        <v>45922</v>
      </c>
      <c r="C4" t="s">
        <v>26</v>
      </c>
    </row>
    <row r="5" spans="1:6">
      <c r="A5" s="16" t="s">
        <v>38</v>
      </c>
      <c r="B5" s="17">
        <v>45923</v>
      </c>
      <c r="C5" t="s">
        <v>26</v>
      </c>
      <c r="D5" t="s">
        <v>29</v>
      </c>
    </row>
    <row r="6" spans="1:6">
      <c r="A6" s="16" t="s">
        <v>37</v>
      </c>
      <c r="B6" s="17">
        <v>45922</v>
      </c>
    </row>
    <row r="7" spans="1:6">
      <c r="A7" s="16" t="s">
        <v>36</v>
      </c>
      <c r="B7" s="20" t="s">
        <v>35</v>
      </c>
    </row>
    <row r="8" spans="1:6" ht="16.2" customHeight="1"/>
    <row r="9" spans="1:6" ht="15" thickBot="1"/>
    <row r="10" spans="1:6" ht="15" thickBot="1">
      <c r="A10" s="972" t="s">
        <v>43</v>
      </c>
      <c r="B10" s="973"/>
      <c r="C10" s="974"/>
      <c r="F10" s="1"/>
    </row>
    <row r="11" spans="1:6" ht="18" customHeight="1">
      <c r="A11" s="2" t="s">
        <v>0</v>
      </c>
      <c r="B11" s="973" t="s">
        <v>1</v>
      </c>
      <c r="C11" s="974"/>
      <c r="F11" s="1"/>
    </row>
    <row r="12" spans="1:6" ht="18" customHeight="1">
      <c r="A12" s="3" t="s">
        <v>2</v>
      </c>
      <c r="B12" s="798" t="s">
        <v>3</v>
      </c>
      <c r="C12" s="798"/>
      <c r="F12" s="1"/>
    </row>
    <row r="13" spans="1:6" ht="18" customHeight="1">
      <c r="A13" s="3" t="s">
        <v>4</v>
      </c>
      <c r="B13" s="798" t="s">
        <v>5</v>
      </c>
      <c r="C13" s="798"/>
      <c r="F13" s="1"/>
    </row>
    <row r="14" spans="1:6" ht="18" customHeight="1">
      <c r="A14" s="4" t="s">
        <v>6</v>
      </c>
      <c r="B14" s="979" t="s">
        <v>7</v>
      </c>
      <c r="C14" s="979"/>
      <c r="D14" s="980" t="s">
        <v>8</v>
      </c>
      <c r="E14" s="981"/>
      <c r="F14" s="981"/>
    </row>
    <row r="15" spans="1:6" ht="18" customHeight="1" thickBot="1"/>
    <row r="16" spans="1:6" ht="15" thickBot="1">
      <c r="A16" s="976" t="s">
        <v>34</v>
      </c>
      <c r="B16" s="977"/>
      <c r="C16" s="977"/>
      <c r="D16" s="977"/>
      <c r="E16" s="978"/>
    </row>
    <row r="17" spans="1:5">
      <c r="A17" s="19" t="s">
        <v>0</v>
      </c>
      <c r="B17" s="19" t="s">
        <v>33</v>
      </c>
      <c r="C17" s="19" t="s">
        <v>32</v>
      </c>
      <c r="D17" s="25"/>
      <c r="E17" s="25"/>
    </row>
    <row r="18" spans="1:5">
      <c r="A18" s="18" t="s">
        <v>31</v>
      </c>
      <c r="B18" s="18" t="s">
        <v>30</v>
      </c>
      <c r="C18" s="28">
        <v>45933</v>
      </c>
      <c r="D18" s="18" t="s">
        <v>44</v>
      </c>
      <c r="E18" s="26"/>
    </row>
    <row r="19" spans="1:5">
      <c r="A19" s="16" t="s">
        <v>28</v>
      </c>
      <c r="B19" s="16" t="s">
        <v>27</v>
      </c>
      <c r="C19" s="29">
        <v>45933</v>
      </c>
      <c r="D19" s="16"/>
    </row>
    <row r="20" spans="1:5">
      <c r="A20" s="16" t="s">
        <v>25</v>
      </c>
      <c r="B20" s="16" t="s">
        <v>24</v>
      </c>
      <c r="C20" s="29">
        <v>45933</v>
      </c>
      <c r="D20" s="16"/>
    </row>
    <row r="21" spans="1:5" ht="15" thickBot="1"/>
    <row r="22" spans="1:5" ht="15" thickBot="1">
      <c r="A22" s="27">
        <v>45953</v>
      </c>
      <c r="D22" s="1"/>
    </row>
    <row r="23" spans="1:5" ht="16.2" thickBot="1">
      <c r="A23" s="23" t="s">
        <v>9</v>
      </c>
      <c r="B23" s="24" t="s">
        <v>10</v>
      </c>
      <c r="C23" s="24" t="s">
        <v>11</v>
      </c>
      <c r="D23" s="22" t="s">
        <v>12</v>
      </c>
    </row>
    <row r="24" spans="1:5" ht="15" thickBot="1">
      <c r="A24" s="5" t="s">
        <v>13</v>
      </c>
      <c r="B24" s="6" t="s">
        <v>14</v>
      </c>
      <c r="C24" s="7">
        <v>28</v>
      </c>
      <c r="D24" s="8">
        <v>28</v>
      </c>
    </row>
    <row r="25" spans="1:5" ht="15" thickBot="1">
      <c r="A25" s="9" t="s">
        <v>15</v>
      </c>
      <c r="B25" s="10" t="s">
        <v>16</v>
      </c>
      <c r="C25" s="11">
        <v>57.8</v>
      </c>
      <c r="D25" s="8">
        <v>54</v>
      </c>
    </row>
    <row r="26" spans="1:5" ht="15" thickBot="1">
      <c r="A26" s="12" t="s">
        <v>17</v>
      </c>
      <c r="B26" s="11" t="s">
        <v>18</v>
      </c>
      <c r="C26" s="11">
        <v>85.1</v>
      </c>
      <c r="D26" s="8">
        <v>81.5</v>
      </c>
    </row>
    <row r="27" spans="1:5" ht="15" thickBot="1">
      <c r="A27" s="12" t="s">
        <v>19</v>
      </c>
      <c r="B27" s="11" t="s">
        <v>18</v>
      </c>
      <c r="C27" s="8">
        <v>130</v>
      </c>
      <c r="D27" s="8">
        <v>125</v>
      </c>
    </row>
    <row r="28" spans="1:5" ht="15" thickBot="1">
      <c r="A28" s="12" t="s">
        <v>20</v>
      </c>
      <c r="B28" s="11" t="s">
        <v>18</v>
      </c>
      <c r="C28" s="11">
        <v>279</v>
      </c>
      <c r="D28" s="8">
        <v>189</v>
      </c>
    </row>
    <row r="29" spans="1:5">
      <c r="A29" s="13" t="s">
        <v>21</v>
      </c>
      <c r="B29" s="14"/>
      <c r="C29" s="15" t="s">
        <v>22</v>
      </c>
      <c r="D29" s="15" t="s">
        <v>23</v>
      </c>
    </row>
    <row r="30" spans="1:5" ht="15" thickBot="1"/>
    <row r="31" spans="1:5">
      <c r="A31" s="31" t="s">
        <v>45</v>
      </c>
      <c r="B31" s="42" t="s">
        <v>33</v>
      </c>
      <c r="C31" s="32" t="s">
        <v>46</v>
      </c>
      <c r="D31" s="33" t="s">
        <v>47</v>
      </c>
    </row>
    <row r="32" spans="1:5">
      <c r="A32" s="34" t="s">
        <v>57</v>
      </c>
      <c r="B32" s="43" t="s">
        <v>59</v>
      </c>
      <c r="C32" s="30">
        <v>620</v>
      </c>
      <c r="D32" s="35">
        <v>310</v>
      </c>
    </row>
    <row r="33" spans="1:6" ht="15" thickBot="1">
      <c r="A33" s="36" t="s">
        <v>58</v>
      </c>
      <c r="B33" s="44" t="s">
        <v>60</v>
      </c>
      <c r="C33" s="38">
        <v>650</v>
      </c>
      <c r="D33" s="37">
        <v>325</v>
      </c>
    </row>
    <row r="34" spans="1:6" ht="15" thickBot="1"/>
    <row r="35" spans="1:6">
      <c r="A35" s="31" t="s">
        <v>48</v>
      </c>
      <c r="B35" s="32" t="s">
        <v>33</v>
      </c>
      <c r="C35" s="32" t="s">
        <v>55</v>
      </c>
      <c r="D35" s="33" t="s">
        <v>56</v>
      </c>
    </row>
    <row r="36" spans="1:6">
      <c r="A36" s="34" t="s">
        <v>49</v>
      </c>
      <c r="B36" s="16" t="s">
        <v>54</v>
      </c>
      <c r="C36" s="30">
        <v>150</v>
      </c>
      <c r="D36" s="39" t="s">
        <v>61</v>
      </c>
    </row>
    <row r="37" spans="1:6">
      <c r="A37" s="34" t="s">
        <v>50</v>
      </c>
      <c r="B37" s="16" t="s">
        <v>53</v>
      </c>
      <c r="C37" s="30">
        <v>100</v>
      </c>
      <c r="D37" s="39" t="s">
        <v>62</v>
      </c>
    </row>
    <row r="38" spans="1:6">
      <c r="A38" s="34" t="s">
        <v>51</v>
      </c>
      <c r="B38" s="16" t="s">
        <v>52</v>
      </c>
      <c r="C38" s="30">
        <v>200</v>
      </c>
      <c r="D38" s="39" t="s">
        <v>61</v>
      </c>
    </row>
    <row r="39" spans="1:6">
      <c r="A39" s="34" t="s">
        <v>63</v>
      </c>
      <c r="B39" s="54" t="s">
        <v>64</v>
      </c>
      <c r="C39" s="55">
        <v>212.7</v>
      </c>
      <c r="D39" s="56" t="s">
        <v>67</v>
      </c>
      <c r="E39" s="57">
        <v>252.7</v>
      </c>
      <c r="F39" t="s">
        <v>117</v>
      </c>
    </row>
    <row r="40" spans="1:6" ht="15" thickBot="1">
      <c r="A40" s="36" t="s">
        <v>65</v>
      </c>
      <c r="B40" s="45" t="s">
        <v>112</v>
      </c>
      <c r="C40" s="41">
        <v>160</v>
      </c>
      <c r="D40" s="40" t="s">
        <v>66</v>
      </c>
      <c r="E40" t="s">
        <v>113</v>
      </c>
      <c r="F40" t="s">
        <v>114</v>
      </c>
    </row>
    <row r="42" spans="1:6">
      <c r="A42" s="46" t="s">
        <v>68</v>
      </c>
      <c r="B42" s="46" t="s">
        <v>33</v>
      </c>
      <c r="C42" s="47" t="s">
        <v>70</v>
      </c>
      <c r="D42" s="47" t="s">
        <v>107</v>
      </c>
      <c r="E42" s="47" t="s">
        <v>72</v>
      </c>
      <c r="F42" s="47" t="s">
        <v>92</v>
      </c>
    </row>
    <row r="43" spans="1:6">
      <c r="A43" s="46" t="s">
        <v>69</v>
      </c>
      <c r="B43" s="1" t="s">
        <v>89</v>
      </c>
      <c r="C43" s="49">
        <v>1500</v>
      </c>
      <c r="D43" s="48">
        <v>450</v>
      </c>
      <c r="E43" s="49">
        <v>1500</v>
      </c>
      <c r="F43" t="s">
        <v>86</v>
      </c>
    </row>
    <row r="44" spans="1:6">
      <c r="A44" s="46" t="s">
        <v>144</v>
      </c>
      <c r="B44" s="1" t="s">
        <v>91</v>
      </c>
      <c r="C44" s="49">
        <v>1500</v>
      </c>
      <c r="D44" s="48">
        <v>400</v>
      </c>
      <c r="E44" s="49">
        <v>900</v>
      </c>
      <c r="F44" t="s">
        <v>86</v>
      </c>
    </row>
    <row r="45" spans="1:6">
      <c r="A45" s="46" t="s">
        <v>106</v>
      </c>
      <c r="B45" s="1" t="s">
        <v>94</v>
      </c>
      <c r="C45" s="49">
        <v>1400</v>
      </c>
      <c r="D45" s="49">
        <v>400</v>
      </c>
      <c r="E45" s="49">
        <v>950</v>
      </c>
      <c r="F45" t="s">
        <v>86</v>
      </c>
    </row>
    <row r="46" spans="1:6">
      <c r="A46" s="46" t="s">
        <v>73</v>
      </c>
      <c r="B46" s="49" t="s">
        <v>85</v>
      </c>
      <c r="C46" s="49">
        <v>1430</v>
      </c>
      <c r="D46" s="49">
        <v>750</v>
      </c>
      <c r="E46" s="49">
        <v>1000</v>
      </c>
      <c r="F46" t="s">
        <v>86</v>
      </c>
    </row>
    <row r="47" spans="1:6">
      <c r="A47" s="46" t="s">
        <v>83</v>
      </c>
      <c r="B47" s="49" t="s">
        <v>88</v>
      </c>
      <c r="C47" s="49">
        <v>620</v>
      </c>
      <c r="D47" s="49">
        <v>500</v>
      </c>
      <c r="E47" s="49">
        <v>390</v>
      </c>
      <c r="F47" t="s">
        <v>93</v>
      </c>
    </row>
    <row r="48" spans="1:6">
      <c r="A48" s="46" t="s">
        <v>84</v>
      </c>
      <c r="B48" s="49" t="s">
        <v>90</v>
      </c>
      <c r="C48" s="49">
        <v>1440</v>
      </c>
      <c r="D48" s="49">
        <v>580</v>
      </c>
      <c r="E48" s="49">
        <v>1500</v>
      </c>
      <c r="F48" t="s">
        <v>86</v>
      </c>
    </row>
    <row r="49" spans="1:7">
      <c r="A49" s="46" t="s">
        <v>131</v>
      </c>
      <c r="B49" s="49" t="s">
        <v>132</v>
      </c>
      <c r="C49" s="49">
        <v>1230</v>
      </c>
      <c r="D49" s="49">
        <v>630</v>
      </c>
      <c r="E49" s="49">
        <v>1200</v>
      </c>
      <c r="F49" t="s">
        <v>86</v>
      </c>
    </row>
    <row r="50" spans="1:7">
      <c r="A50" s="46" t="s">
        <v>111</v>
      </c>
      <c r="B50" s="49"/>
      <c r="C50" s="49"/>
      <c r="D50" s="49"/>
      <c r="E50" s="49"/>
    </row>
    <row r="51" spans="1:7">
      <c r="A51" s="46" t="s">
        <v>145</v>
      </c>
      <c r="B51" s="49" t="s">
        <v>143</v>
      </c>
      <c r="C51" s="49">
        <v>1000</v>
      </c>
      <c r="D51" s="49">
        <v>350</v>
      </c>
      <c r="E51" s="49">
        <v>1480</v>
      </c>
      <c r="F51" t="s">
        <v>86</v>
      </c>
    </row>
    <row r="53" spans="1:7">
      <c r="A53" s="46" t="s">
        <v>103</v>
      </c>
      <c r="B53" s="58" t="s">
        <v>33</v>
      </c>
      <c r="C53" s="58" t="s">
        <v>55</v>
      </c>
      <c r="D53" s="58" t="s">
        <v>92</v>
      </c>
      <c r="E53" s="49" t="s">
        <v>110</v>
      </c>
    </row>
    <row r="54" spans="1:7">
      <c r="A54" s="34" t="s">
        <v>63</v>
      </c>
      <c r="B54" s="16" t="s">
        <v>64</v>
      </c>
      <c r="C54" s="30">
        <v>699</v>
      </c>
      <c r="D54" s="39"/>
      <c r="E54" s="49" t="s">
        <v>156</v>
      </c>
    </row>
    <row r="55" spans="1:7">
      <c r="A55" s="46" t="s">
        <v>71</v>
      </c>
      <c r="B55" s="1" t="s">
        <v>87</v>
      </c>
      <c r="C55" s="59"/>
      <c r="D55" s="60"/>
      <c r="E55" s="59"/>
    </row>
    <row r="56" spans="1:7">
      <c r="A56" s="46" t="s">
        <v>104</v>
      </c>
      <c r="B56" s="49" t="s">
        <v>105</v>
      </c>
      <c r="C56" s="49">
        <v>1700</v>
      </c>
      <c r="D56" s="49" t="s">
        <v>109</v>
      </c>
      <c r="E56" s="49" t="s">
        <v>146</v>
      </c>
    </row>
    <row r="57" spans="1:7">
      <c r="A57" s="46" t="s">
        <v>69</v>
      </c>
      <c r="B57" s="1" t="s">
        <v>89</v>
      </c>
      <c r="C57" s="59"/>
      <c r="D57" s="60"/>
      <c r="E57" s="59"/>
    </row>
    <row r="58" spans="1:7">
      <c r="A58" s="46" t="s">
        <v>108</v>
      </c>
      <c r="B58" s="1" t="s">
        <v>94</v>
      </c>
      <c r="C58" s="49">
        <v>1200</v>
      </c>
      <c r="D58" s="49"/>
      <c r="E58" s="49" t="s">
        <v>155</v>
      </c>
    </row>
    <row r="59" spans="1:7">
      <c r="A59" s="46" t="s">
        <v>115</v>
      </c>
      <c r="B59" s="49" t="s">
        <v>116</v>
      </c>
      <c r="C59" s="59"/>
      <c r="D59" s="59"/>
      <c r="E59" s="59" t="s">
        <v>154</v>
      </c>
    </row>
    <row r="60" spans="1:7">
      <c r="A60" s="46" t="s">
        <v>83</v>
      </c>
      <c r="B60" s="49" t="s">
        <v>88</v>
      </c>
      <c r="C60" s="59"/>
      <c r="D60" s="59"/>
      <c r="E60" s="59"/>
    </row>
    <row r="61" spans="1:7">
      <c r="A61" s="72"/>
      <c r="B61" s="49"/>
      <c r="C61" s="49"/>
      <c r="D61" s="49"/>
      <c r="E61" s="49"/>
    </row>
    <row r="62" spans="1:7">
      <c r="A62" s="72"/>
      <c r="B62" s="49"/>
      <c r="C62" s="49"/>
      <c r="D62" s="49"/>
      <c r="E62" s="49"/>
    </row>
    <row r="64" spans="1:7">
      <c r="A64" s="965" t="s">
        <v>74</v>
      </c>
      <c r="B64" s="965"/>
      <c r="C64" s="965"/>
      <c r="E64" s="53"/>
      <c r="F64" s="52"/>
      <c r="G64" s="52"/>
    </row>
    <row r="65" spans="1:7">
      <c r="E65" s="52"/>
      <c r="F65" s="52"/>
      <c r="G65" s="52"/>
    </row>
    <row r="66" spans="1:7">
      <c r="E66" s="52"/>
      <c r="F66" s="52"/>
      <c r="G66" s="52"/>
    </row>
    <row r="67" spans="1:7">
      <c r="E67" s="50"/>
      <c r="F67" s="51"/>
      <c r="G67" s="50"/>
    </row>
    <row r="68" spans="1:7">
      <c r="E68" s="52"/>
      <c r="F68" s="52"/>
      <c r="G68" s="52"/>
    </row>
    <row r="69" spans="1:7" ht="15" thickBot="1">
      <c r="A69" s="69" t="s">
        <v>0</v>
      </c>
      <c r="B69" s="69" t="s">
        <v>33</v>
      </c>
      <c r="C69" s="70" t="s">
        <v>110</v>
      </c>
      <c r="D69" t="s">
        <v>0</v>
      </c>
      <c r="E69" s="52" t="s">
        <v>149</v>
      </c>
      <c r="F69" s="52" t="s">
        <v>55</v>
      </c>
      <c r="G69" s="52"/>
    </row>
    <row r="70" spans="1:7" ht="16.05" customHeight="1">
      <c r="A70" s="66" t="s">
        <v>75</v>
      </c>
      <c r="B70" s="67" t="s">
        <v>77</v>
      </c>
      <c r="C70" s="73" t="s">
        <v>97</v>
      </c>
      <c r="D70" s="982" t="s">
        <v>147</v>
      </c>
      <c r="E70" s="74" t="s">
        <v>150</v>
      </c>
      <c r="F70" s="76">
        <v>735</v>
      </c>
      <c r="G70" s="52"/>
    </row>
    <row r="71" spans="1:7" ht="16.05" customHeight="1" thickBot="1">
      <c r="A71" s="66" t="s">
        <v>75</v>
      </c>
      <c r="B71" s="67" t="s">
        <v>133</v>
      </c>
      <c r="C71" s="73" t="s">
        <v>95</v>
      </c>
      <c r="D71" s="983"/>
      <c r="E71" s="75" t="s">
        <v>148</v>
      </c>
      <c r="F71" s="77">
        <v>885</v>
      </c>
      <c r="G71" s="52"/>
    </row>
    <row r="72" spans="1:7" ht="16.05" customHeight="1">
      <c r="A72" s="67" t="s">
        <v>98</v>
      </c>
      <c r="B72" s="67" t="s">
        <v>78</v>
      </c>
      <c r="C72" s="16" t="s">
        <v>96</v>
      </c>
      <c r="D72" t="s">
        <v>153</v>
      </c>
      <c r="E72" s="52" t="s">
        <v>18</v>
      </c>
      <c r="F72" s="52"/>
      <c r="G72" s="52"/>
    </row>
    <row r="73" spans="1:7" ht="16.05" customHeight="1">
      <c r="A73" s="67" t="s">
        <v>99</v>
      </c>
      <c r="B73" s="67" t="s">
        <v>79</v>
      </c>
      <c r="C73" s="68" t="s">
        <v>95</v>
      </c>
      <c r="D73" t="s">
        <v>151</v>
      </c>
      <c r="E73" s="50"/>
      <c r="F73" s="51"/>
      <c r="G73" s="50"/>
    </row>
    <row r="74" spans="1:7" ht="16.05" customHeight="1">
      <c r="A74" s="67" t="s">
        <v>135</v>
      </c>
      <c r="B74" s="71" t="s">
        <v>136</v>
      </c>
      <c r="C74" s="68" t="s">
        <v>95</v>
      </c>
      <c r="D74" t="s">
        <v>157</v>
      </c>
      <c r="E74" s="50"/>
      <c r="F74" s="51"/>
      <c r="G74" s="50"/>
    </row>
    <row r="75" spans="1:7" ht="16.05" customHeight="1">
      <c r="A75" s="67" t="s">
        <v>100</v>
      </c>
      <c r="B75" s="67" t="s">
        <v>80</v>
      </c>
      <c r="C75" s="68" t="s">
        <v>97</v>
      </c>
      <c r="D75" t="s">
        <v>152</v>
      </c>
      <c r="E75" s="52" t="s">
        <v>150</v>
      </c>
      <c r="F75" s="52"/>
      <c r="G75" s="52"/>
    </row>
    <row r="76" spans="1:7" ht="16.05" customHeight="1">
      <c r="A76" s="67" t="s">
        <v>100</v>
      </c>
      <c r="B76" s="67" t="s">
        <v>141</v>
      </c>
      <c r="C76" s="68"/>
      <c r="E76" s="52"/>
      <c r="F76" s="52"/>
      <c r="G76" s="52"/>
    </row>
    <row r="77" spans="1:7" ht="16.05" customHeight="1">
      <c r="A77" s="67" t="s">
        <v>101</v>
      </c>
      <c r="B77" s="67" t="s">
        <v>102</v>
      </c>
      <c r="C77" s="68" t="s">
        <v>95</v>
      </c>
      <c r="E77" s="52"/>
      <c r="F77" s="52"/>
      <c r="G77" s="52"/>
    </row>
    <row r="78" spans="1:7" ht="16.05" customHeight="1">
      <c r="A78" s="67" t="s">
        <v>76</v>
      </c>
      <c r="B78" s="67" t="s">
        <v>140</v>
      </c>
      <c r="C78" s="68" t="s">
        <v>142</v>
      </c>
      <c r="E78" s="52"/>
      <c r="F78" s="52"/>
      <c r="G78" s="52"/>
    </row>
    <row r="79" spans="1:7" ht="16.05" customHeight="1">
      <c r="A79" s="67" t="s">
        <v>82</v>
      </c>
      <c r="B79" s="67" t="s">
        <v>81</v>
      </c>
      <c r="C79" s="68" t="s">
        <v>96</v>
      </c>
      <c r="E79" s="50"/>
      <c r="F79" s="51"/>
      <c r="G79" s="50"/>
    </row>
    <row r="80" spans="1:7" ht="16.05" customHeight="1">
      <c r="A80" s="67" t="s">
        <v>134</v>
      </c>
      <c r="B80" s="67" t="s">
        <v>137</v>
      </c>
      <c r="C80" s="68" t="s">
        <v>95</v>
      </c>
      <c r="E80" s="50"/>
      <c r="F80" s="51"/>
      <c r="G80" s="50"/>
    </row>
    <row r="81" spans="1:7" ht="16.05" customHeight="1">
      <c r="A81" s="67" t="s">
        <v>138</v>
      </c>
      <c r="B81" s="16" t="s">
        <v>139</v>
      </c>
      <c r="C81" s="68" t="s">
        <v>95</v>
      </c>
      <c r="E81" s="50"/>
      <c r="F81" s="51"/>
      <c r="G81" s="50"/>
    </row>
    <row r="82" spans="1:7" ht="16.05" customHeight="1" thickBot="1"/>
    <row r="83" spans="1:7" ht="16.05" customHeight="1" thickBot="1">
      <c r="A83" s="61" t="s">
        <v>128</v>
      </c>
      <c r="B83" s="64"/>
      <c r="C83" s="65" t="s">
        <v>129</v>
      </c>
      <c r="E83" s="61" t="s">
        <v>130</v>
      </c>
      <c r="F83" s="64"/>
    </row>
    <row r="84" spans="1:7" ht="16.05" customHeight="1">
      <c r="A84" s="941" t="s">
        <v>118</v>
      </c>
      <c r="C84" s="16" t="s">
        <v>158</v>
      </c>
    </row>
    <row r="85" spans="1:7" ht="15" thickBot="1">
      <c r="A85" s="975"/>
      <c r="C85" s="16"/>
    </row>
    <row r="86" spans="1:7">
      <c r="A86" s="62" t="s">
        <v>119</v>
      </c>
      <c r="C86" s="16"/>
    </row>
    <row r="87" spans="1:7" ht="15" thickBot="1">
      <c r="A87" s="63" t="s">
        <v>120</v>
      </c>
      <c r="C87" s="16"/>
    </row>
    <row r="88" spans="1:7">
      <c r="A88" s="62" t="s">
        <v>121</v>
      </c>
      <c r="C88" s="16"/>
    </row>
    <row r="89" spans="1:7" ht="15" thickBot="1">
      <c r="A89" s="63" t="s">
        <v>122</v>
      </c>
      <c r="C89" s="16"/>
    </row>
    <row r="90" spans="1:7">
      <c r="A90" s="62" t="s">
        <v>123</v>
      </c>
      <c r="C90" s="16"/>
    </row>
    <row r="91" spans="1:7" ht="15" thickBot="1">
      <c r="A91" s="63" t="s">
        <v>124</v>
      </c>
      <c r="C91" s="16"/>
    </row>
    <row r="92" spans="1:7">
      <c r="A92" s="62" t="s">
        <v>125</v>
      </c>
      <c r="C92" s="16"/>
    </row>
    <row r="93" spans="1:7" ht="15" thickBot="1">
      <c r="A93" s="63" t="s">
        <v>126</v>
      </c>
      <c r="C93" s="16"/>
    </row>
    <row r="94" spans="1:7">
      <c r="A94" s="941" t="s">
        <v>127</v>
      </c>
    </row>
    <row r="95" spans="1:7" ht="15" thickBot="1">
      <c r="A95" s="942"/>
    </row>
    <row r="113" spans="1:5">
      <c r="A113" s="81" t="s">
        <v>159</v>
      </c>
      <c r="B113" s="81" t="s">
        <v>33</v>
      </c>
      <c r="C113" s="81" t="s">
        <v>55</v>
      </c>
    </row>
    <row r="114" spans="1:5">
      <c r="A114" s="16" t="s">
        <v>160</v>
      </c>
      <c r="B114" s="16" t="s">
        <v>167</v>
      </c>
      <c r="C114" s="30">
        <v>589.5</v>
      </c>
    </row>
    <row r="115" spans="1:5">
      <c r="A115" s="16" t="s">
        <v>135</v>
      </c>
      <c r="B115" s="16" t="s">
        <v>166</v>
      </c>
      <c r="C115" s="30">
        <v>1076.5</v>
      </c>
    </row>
    <row r="116" spans="1:5">
      <c r="A116" s="16" t="s">
        <v>161</v>
      </c>
      <c r="B116" s="16" t="s">
        <v>162</v>
      </c>
      <c r="C116" s="30">
        <v>523.04</v>
      </c>
    </row>
    <row r="117" spans="1:5">
      <c r="A117" s="16" t="s">
        <v>164</v>
      </c>
      <c r="B117" s="16" t="s">
        <v>163</v>
      </c>
      <c r="C117" s="30">
        <v>925</v>
      </c>
      <c r="D117" t="s">
        <v>165</v>
      </c>
    </row>
    <row r="118" spans="1:5">
      <c r="A118" s="16" t="s">
        <v>171</v>
      </c>
      <c r="B118" s="16" t="s">
        <v>172</v>
      </c>
      <c r="C118" s="30">
        <v>486</v>
      </c>
      <c r="D118" t="s">
        <v>173</v>
      </c>
    </row>
    <row r="119" spans="1:5">
      <c r="A119" s="16" t="s">
        <v>174</v>
      </c>
      <c r="B119" s="16" t="s">
        <v>175</v>
      </c>
      <c r="C119" s="30">
        <v>1067</v>
      </c>
    </row>
    <row r="121" spans="1:5">
      <c r="A121" s="82" t="s">
        <v>168</v>
      </c>
      <c r="B121" s="82" t="s">
        <v>33</v>
      </c>
      <c r="C121" s="82" t="s">
        <v>55</v>
      </c>
    </row>
    <row r="122" spans="1:5">
      <c r="A122" t="s">
        <v>169</v>
      </c>
      <c r="B122" t="s">
        <v>170</v>
      </c>
      <c r="C122" s="48">
        <v>688.32</v>
      </c>
    </row>
    <row r="123" spans="1:5">
      <c r="A123" t="s">
        <v>176</v>
      </c>
    </row>
    <row r="125" spans="1:5">
      <c r="A125" t="s">
        <v>178</v>
      </c>
      <c r="E125" t="s">
        <v>182</v>
      </c>
    </row>
    <row r="126" spans="1:5">
      <c r="A126" t="s">
        <v>177</v>
      </c>
      <c r="B126" t="s">
        <v>33</v>
      </c>
      <c r="C126" t="s">
        <v>179</v>
      </c>
      <c r="E126" t="s">
        <v>183</v>
      </c>
    </row>
    <row r="127" spans="1:5">
      <c r="A127" s="16" t="s">
        <v>161</v>
      </c>
      <c r="B127" s="16" t="s">
        <v>162</v>
      </c>
      <c r="C127" s="30">
        <v>502.42</v>
      </c>
      <c r="E127" t="s">
        <v>184</v>
      </c>
    </row>
    <row r="128" spans="1:5">
      <c r="A128" s="16" t="s">
        <v>174</v>
      </c>
      <c r="B128" s="16" t="s">
        <v>175</v>
      </c>
      <c r="C128" s="30">
        <v>860.25</v>
      </c>
      <c r="E128" t="s">
        <v>185</v>
      </c>
    </row>
    <row r="129" spans="1:5">
      <c r="A129" s="16" t="s">
        <v>135</v>
      </c>
      <c r="B129" s="16" t="s">
        <v>166</v>
      </c>
      <c r="C129" s="30">
        <v>799.2</v>
      </c>
    </row>
    <row r="130" spans="1:5">
      <c r="A130" t="s">
        <v>180</v>
      </c>
      <c r="B130" t="s">
        <v>181</v>
      </c>
    </row>
    <row r="132" spans="1:5" ht="15" thickBot="1">
      <c r="A132" s="83">
        <v>45972</v>
      </c>
    </row>
    <row r="133" spans="1:5" ht="15" thickBot="1">
      <c r="A133" s="972" t="s">
        <v>43</v>
      </c>
      <c r="B133" s="973"/>
      <c r="C133" s="974"/>
    </row>
    <row r="134" spans="1:5">
      <c r="A134" s="2" t="s">
        <v>0</v>
      </c>
      <c r="B134" s="973" t="s">
        <v>1</v>
      </c>
      <c r="C134" s="974"/>
    </row>
    <row r="135" spans="1:5">
      <c r="A135" s="3" t="s">
        <v>2</v>
      </c>
      <c r="B135" s="798" t="s">
        <v>3</v>
      </c>
      <c r="C135" s="798"/>
    </row>
    <row r="136" spans="1:5">
      <c r="A136" s="3" t="s">
        <v>4</v>
      </c>
      <c r="B136" s="798" t="s">
        <v>5</v>
      </c>
      <c r="C136" s="798"/>
    </row>
    <row r="137" spans="1:5">
      <c r="A137" s="4" t="s">
        <v>6</v>
      </c>
      <c r="B137" s="979" t="s">
        <v>7</v>
      </c>
      <c r="C137" s="979"/>
    </row>
    <row r="138" spans="1:5">
      <c r="A138" s="3" t="s">
        <v>198</v>
      </c>
      <c r="B138" s="798" t="s">
        <v>199</v>
      </c>
      <c r="C138" s="798"/>
    </row>
    <row r="139" spans="1:5" ht="15" thickBot="1"/>
    <row r="140" spans="1:5">
      <c r="A140" s="91" t="s">
        <v>232</v>
      </c>
      <c r="B140" s="92" t="s">
        <v>179</v>
      </c>
      <c r="C140" s="93" t="s">
        <v>56</v>
      </c>
    </row>
    <row r="141" spans="1:5">
      <c r="A141" s="94" t="s">
        <v>233</v>
      </c>
      <c r="B141" s="30">
        <v>461.82</v>
      </c>
      <c r="C141" s="35">
        <v>220</v>
      </c>
    </row>
    <row r="142" spans="1:5" ht="15" thickBot="1">
      <c r="A142" s="95" t="s">
        <v>235</v>
      </c>
      <c r="B142" s="41">
        <v>833</v>
      </c>
      <c r="C142" s="40"/>
    </row>
    <row r="143" spans="1:5">
      <c r="D143" t="s">
        <v>197</v>
      </c>
      <c r="E143" s="85" t="s">
        <v>196</v>
      </c>
    </row>
  </sheetData>
  <mergeCells count="17">
    <mergeCell ref="D14:F14"/>
    <mergeCell ref="D70:D71"/>
    <mergeCell ref="A10:C10"/>
    <mergeCell ref="B12:C12"/>
    <mergeCell ref="B13:C13"/>
    <mergeCell ref="B14:C14"/>
    <mergeCell ref="B11:C11"/>
    <mergeCell ref="B138:C138"/>
    <mergeCell ref="A84:A85"/>
    <mergeCell ref="A94:A95"/>
    <mergeCell ref="A64:C64"/>
    <mergeCell ref="A16:E16"/>
    <mergeCell ref="A133:C133"/>
    <mergeCell ref="B134:C134"/>
    <mergeCell ref="B135:C135"/>
    <mergeCell ref="B136:C136"/>
    <mergeCell ref="B137:C137"/>
  </mergeCells>
  <hyperlinks>
    <hyperlink ref="B74" r:id="rId1" display="tel:3132982000" xr:uid="{306890BE-2514-4D4E-BC59-3E6D117F9464}"/>
    <hyperlink ref="E143" r:id="rId2" display="https://www.google.com/search?q=elmaz&amp;oq=elmaz&amp;gs_lcrp=EgZjaHJvbWUqDQgAEAAY4wIYsQMYgAQyDQgAEAAY4wIYsQMYgAQyEwgBEC4YrwEYxwEYsQMYgAQYjgUyBwgCEAAYgAQyBwgDEAAYgAQyBwgEEAAYgAQyBwgFEAAYgAQyBwgGEAAYgAQyBwgHEAAYgAQyBwgIEAAYgAQyBwgJEAAYgATSAQgzMTc1ajBqN6gCCLACAfEFXngAUukOHgM&amp;sourceid=chrome&amp;ie=UTF-8" xr:uid="{8914A2CA-38F0-47DF-A4A3-C3CC2878745E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0E8F-E5D0-4F2B-8B74-52E8B70837EF}">
  <dimension ref="A1:Q23"/>
  <sheetViews>
    <sheetView workbookViewId="0">
      <selection activeCell="D10" sqref="D10"/>
    </sheetView>
  </sheetViews>
  <sheetFormatPr defaultRowHeight="14.4"/>
  <cols>
    <col min="1" max="1" width="27.21875" bestFit="1" customWidth="1"/>
    <col min="2" max="2" width="13.33203125" bestFit="1" customWidth="1"/>
    <col min="3" max="3" width="82.6640625" bestFit="1" customWidth="1"/>
    <col min="18" max="19" width="11.88671875" bestFit="1" customWidth="1"/>
  </cols>
  <sheetData>
    <row r="1" spans="1:3" s="161" customFormat="1" ht="18" customHeight="1">
      <c r="A1" s="163" t="s">
        <v>359</v>
      </c>
      <c r="B1" s="164">
        <v>3133093002</v>
      </c>
      <c r="C1" s="164" t="s">
        <v>360</v>
      </c>
    </row>
    <row r="2" spans="1:3" s="161" customFormat="1" ht="18" customHeight="1">
      <c r="A2" s="163" t="s">
        <v>361</v>
      </c>
      <c r="B2" s="164">
        <v>3135193900</v>
      </c>
      <c r="C2" s="164" t="s">
        <v>362</v>
      </c>
    </row>
    <row r="3" spans="1:3" s="161" customFormat="1" ht="18" customHeight="1">
      <c r="A3" s="163" t="s">
        <v>363</v>
      </c>
      <c r="B3" s="164">
        <v>3134711895</v>
      </c>
      <c r="C3" s="164" t="s">
        <v>364</v>
      </c>
    </row>
    <row r="4" spans="1:3" s="161" customFormat="1" ht="18" customHeight="1">
      <c r="A4" s="163" t="s">
        <v>365</v>
      </c>
      <c r="B4" s="164">
        <v>3133339047</v>
      </c>
      <c r="C4" s="164" t="s">
        <v>366</v>
      </c>
    </row>
    <row r="5" spans="1:3" s="161" customFormat="1" ht="18" customHeight="1">
      <c r="A5" s="163" t="s">
        <v>367</v>
      </c>
      <c r="B5" s="164">
        <v>3133697979</v>
      </c>
      <c r="C5" s="164" t="s">
        <v>368</v>
      </c>
    </row>
    <row r="6" spans="1:3" s="161" customFormat="1" ht="18" customHeight="1">
      <c r="A6" s="164"/>
      <c r="B6" s="164"/>
      <c r="C6" s="164"/>
    </row>
    <row r="7" spans="1:3" s="161" customFormat="1" ht="18" customHeight="1">
      <c r="A7" s="163" t="s">
        <v>369</v>
      </c>
      <c r="B7" s="164">
        <v>3133944060</v>
      </c>
      <c r="C7" s="164" t="s">
        <v>370</v>
      </c>
    </row>
    <row r="8" spans="1:3" s="161" customFormat="1" ht="18" customHeight="1">
      <c r="A8" s="163" t="s">
        <v>187</v>
      </c>
      <c r="B8" s="164">
        <v>3133937829</v>
      </c>
      <c r="C8" s="164" t="s">
        <v>371</v>
      </c>
    </row>
    <row r="9" spans="1:3" s="161" customFormat="1" ht="18" customHeight="1">
      <c r="A9" s="163" t="s">
        <v>372</v>
      </c>
      <c r="B9" s="164">
        <v>3139134265</v>
      </c>
      <c r="C9" s="164" t="s">
        <v>373</v>
      </c>
    </row>
    <row r="10" spans="1:3" s="161" customFormat="1" ht="18" customHeight="1">
      <c r="A10" s="163" t="s">
        <v>374</v>
      </c>
      <c r="B10" s="164">
        <v>3133626504</v>
      </c>
      <c r="C10" s="164" t="s">
        <v>375</v>
      </c>
    </row>
    <row r="11" spans="1:3" s="161" customFormat="1" ht="18" customHeight="1">
      <c r="A11" s="163" t="s">
        <v>376</v>
      </c>
      <c r="B11" s="164">
        <v>3133902006</v>
      </c>
      <c r="C11" s="164" t="s">
        <v>377</v>
      </c>
    </row>
    <row r="12" spans="1:3" s="161" customFormat="1" ht="18" customHeight="1">
      <c r="A12" s="163" t="s">
        <v>378</v>
      </c>
      <c r="B12" s="164">
        <v>3125681600</v>
      </c>
      <c r="C12" s="164" t="s">
        <v>379</v>
      </c>
    </row>
    <row r="13" spans="1:3" s="161" customFormat="1" ht="18" customHeight="1">
      <c r="A13" s="163" t="s">
        <v>380</v>
      </c>
      <c r="B13" s="164">
        <v>3133559445</v>
      </c>
      <c r="C13" s="164" t="s">
        <v>381</v>
      </c>
    </row>
    <row r="14" spans="1:3" s="161" customFormat="1" ht="18" customHeight="1">
      <c r="A14" s="163" t="s">
        <v>382</v>
      </c>
      <c r="B14" s="164">
        <v>3133331960</v>
      </c>
      <c r="C14" s="164" t="s">
        <v>383</v>
      </c>
    </row>
    <row r="15" spans="1:3" s="161" customFormat="1" ht="18" customHeight="1">
      <c r="A15" s="163" t="s">
        <v>384</v>
      </c>
      <c r="B15" s="164">
        <v>3133613677</v>
      </c>
      <c r="C15" s="164" t="s">
        <v>385</v>
      </c>
    </row>
    <row r="16" spans="1:3" s="161" customFormat="1" ht="18" customHeight="1">
      <c r="A16" s="163" t="s">
        <v>386</v>
      </c>
      <c r="B16" s="164">
        <v>3133883719</v>
      </c>
      <c r="C16" s="164" t="s">
        <v>387</v>
      </c>
    </row>
    <row r="17" spans="1:17" s="161" customFormat="1" ht="18" customHeight="1">
      <c r="A17" s="163" t="s">
        <v>388</v>
      </c>
      <c r="B17" s="164">
        <v>3133542899</v>
      </c>
      <c r="C17" s="164" t="s">
        <v>389</v>
      </c>
      <c r="Q17" s="162"/>
    </row>
    <row r="18" spans="1:17" s="161" customFormat="1" ht="18" customHeight="1">
      <c r="A18" s="163" t="s">
        <v>390</v>
      </c>
      <c r="B18" s="164">
        <v>31992482647</v>
      </c>
      <c r="C18" s="164" t="s">
        <v>391</v>
      </c>
    </row>
    <row r="19" spans="1:17" s="161" customFormat="1" ht="18" customHeight="1">
      <c r="A19" s="163" t="s">
        <v>392</v>
      </c>
      <c r="B19" s="164">
        <v>3133577554</v>
      </c>
      <c r="C19" s="163" t="s">
        <v>393</v>
      </c>
    </row>
    <row r="20" spans="1:17" s="161" customFormat="1" ht="18" customHeight="1">
      <c r="A20" s="163" t="s">
        <v>394</v>
      </c>
      <c r="B20" s="164">
        <v>3134982757</v>
      </c>
      <c r="C20" s="164" t="s">
        <v>395</v>
      </c>
    </row>
    <row r="21" spans="1:17" s="161" customFormat="1" ht="18" customHeight="1">
      <c r="A21" s="163" t="s">
        <v>396</v>
      </c>
      <c r="B21" s="164">
        <v>3136566936</v>
      </c>
      <c r="C21" s="164" t="s">
        <v>397</v>
      </c>
    </row>
    <row r="22" spans="1:17">
      <c r="A22" s="164"/>
      <c r="B22" s="164"/>
      <c r="C22" s="164"/>
    </row>
    <row r="23" spans="1:17">
      <c r="A23" s="164"/>
      <c r="B23" s="164"/>
      <c r="C23" s="1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4CCF-57B7-4B6E-95E0-4DB9544EB18A}">
  <dimension ref="A1:F47"/>
  <sheetViews>
    <sheetView workbookViewId="0">
      <selection activeCell="E3" sqref="E3"/>
    </sheetView>
  </sheetViews>
  <sheetFormatPr defaultRowHeight="14.4"/>
  <cols>
    <col min="1" max="1" width="23.21875" customWidth="1"/>
    <col min="2" max="2" width="17.109375" customWidth="1"/>
    <col min="3" max="3" width="12.5546875" customWidth="1"/>
    <col min="4" max="4" width="0.109375" customWidth="1"/>
    <col min="5" max="5" width="27.5546875" customWidth="1"/>
    <col min="6" max="6" width="36.6640625" customWidth="1"/>
  </cols>
  <sheetData>
    <row r="1" spans="1:6">
      <c r="A1" s="896" t="s">
        <v>1249</v>
      </c>
      <c r="B1" s="896"/>
      <c r="C1" s="896"/>
      <c r="D1" s="896"/>
      <c r="E1" s="896"/>
      <c r="F1" s="101" t="s">
        <v>487</v>
      </c>
    </row>
    <row r="2" spans="1:6">
      <c r="A2" s="101" t="s">
        <v>1247</v>
      </c>
      <c r="B2" s="101" t="s">
        <v>221</v>
      </c>
      <c r="C2" s="101" t="s">
        <v>32</v>
      </c>
      <c r="D2" s="3"/>
      <c r="E2" s="101" t="s">
        <v>1250</v>
      </c>
      <c r="F2" s="101">
        <v>200</v>
      </c>
    </row>
    <row r="3" spans="1:6">
      <c r="A3" s="542" t="s">
        <v>1248</v>
      </c>
      <c r="B3" s="141">
        <v>12</v>
      </c>
      <c r="C3" s="543">
        <v>46105</v>
      </c>
      <c r="E3" s="16"/>
      <c r="F3" s="100">
        <f>F2-B3</f>
        <v>188</v>
      </c>
    </row>
    <row r="4" spans="1:6">
      <c r="A4" s="16"/>
      <c r="B4" s="16"/>
      <c r="C4" s="16"/>
      <c r="E4" s="16"/>
      <c r="F4" s="100"/>
    </row>
    <row r="5" spans="1:6">
      <c r="A5" s="16"/>
      <c r="B5" s="16"/>
      <c r="C5" s="16"/>
      <c r="E5" s="16"/>
      <c r="F5" s="100"/>
    </row>
    <row r="6" spans="1:6">
      <c r="A6" s="16"/>
      <c r="B6" s="16"/>
      <c r="C6" s="16"/>
      <c r="E6" s="16"/>
      <c r="F6" s="100"/>
    </row>
    <row r="7" spans="1:6">
      <c r="A7" s="16"/>
      <c r="B7" s="16"/>
      <c r="C7" s="16"/>
      <c r="E7" s="16"/>
      <c r="F7" s="100"/>
    </row>
    <row r="8" spans="1:6">
      <c r="A8" s="16"/>
      <c r="B8" s="16"/>
      <c r="C8" s="16"/>
      <c r="E8" s="16"/>
      <c r="F8" s="100"/>
    </row>
    <row r="9" spans="1:6">
      <c r="A9" s="16"/>
      <c r="B9" s="16"/>
      <c r="C9" s="16"/>
      <c r="E9" s="16"/>
      <c r="F9" s="100"/>
    </row>
    <row r="10" spans="1:6">
      <c r="A10" s="16"/>
      <c r="B10" s="16"/>
      <c r="C10" s="16"/>
      <c r="E10" s="16"/>
      <c r="F10" s="100"/>
    </row>
    <row r="11" spans="1:6">
      <c r="A11" s="16"/>
      <c r="B11" s="16"/>
      <c r="C11" s="16"/>
      <c r="E11" s="16"/>
      <c r="F11" s="100"/>
    </row>
    <row r="12" spans="1:6">
      <c r="A12" s="16"/>
      <c r="B12" s="16"/>
      <c r="C12" s="16"/>
      <c r="E12" s="16"/>
      <c r="F12" s="100"/>
    </row>
    <row r="13" spans="1:6">
      <c r="A13" s="16"/>
      <c r="B13" s="16"/>
      <c r="C13" s="16"/>
      <c r="E13" s="16"/>
      <c r="F13" s="100"/>
    </row>
    <row r="14" spans="1:6">
      <c r="A14" s="16"/>
      <c r="B14" s="16"/>
      <c r="C14" s="16"/>
      <c r="E14" s="16"/>
      <c r="F14" s="100"/>
    </row>
    <row r="15" spans="1:6">
      <c r="A15" s="16"/>
      <c r="B15" s="16"/>
      <c r="C15" s="16"/>
      <c r="E15" s="16"/>
      <c r="F15" s="100"/>
    </row>
    <row r="16" spans="1:6">
      <c r="A16" s="16"/>
      <c r="B16" s="16"/>
      <c r="C16" s="16"/>
      <c r="E16" s="16"/>
      <c r="F16" s="100"/>
    </row>
    <row r="17" spans="1:6">
      <c r="A17" s="16"/>
      <c r="B17" s="16"/>
      <c r="C17" s="16"/>
      <c r="E17" s="16"/>
      <c r="F17" s="100"/>
    </row>
    <row r="18" spans="1:6">
      <c r="A18" s="16"/>
      <c r="B18" s="16"/>
      <c r="C18" s="16"/>
      <c r="E18" s="16"/>
      <c r="F18" s="100"/>
    </row>
    <row r="19" spans="1:6">
      <c r="A19" s="16"/>
      <c r="B19" s="16"/>
      <c r="C19" s="16"/>
      <c r="E19" s="16"/>
      <c r="F19" s="100"/>
    </row>
    <row r="20" spans="1:6">
      <c r="A20" s="16"/>
      <c r="B20" s="16"/>
      <c r="C20" s="16"/>
      <c r="E20" s="16"/>
      <c r="F20" s="100"/>
    </row>
    <row r="21" spans="1:6">
      <c r="A21" s="16"/>
      <c r="B21" s="16"/>
      <c r="C21" s="16"/>
      <c r="E21" s="16"/>
      <c r="F21" s="100"/>
    </row>
    <row r="22" spans="1:6">
      <c r="A22" s="16"/>
      <c r="B22" s="16"/>
      <c r="C22" s="16"/>
      <c r="E22" s="16"/>
      <c r="F22" s="16"/>
    </row>
    <row r="23" spans="1:6">
      <c r="A23" s="16"/>
      <c r="B23" s="16"/>
      <c r="C23" s="16"/>
      <c r="E23" s="16"/>
      <c r="F23" s="16"/>
    </row>
    <row r="24" spans="1:6">
      <c r="A24" s="16"/>
      <c r="B24" s="16"/>
      <c r="C24" s="16"/>
      <c r="E24" s="16"/>
      <c r="F24" s="16"/>
    </row>
    <row r="25" spans="1:6">
      <c r="A25" s="16"/>
      <c r="B25" s="16"/>
      <c r="C25" s="16"/>
      <c r="E25" s="16"/>
      <c r="F25" s="16"/>
    </row>
    <row r="26" spans="1:6">
      <c r="A26" s="16"/>
      <c r="B26" s="16"/>
      <c r="C26" s="16"/>
      <c r="E26" s="16"/>
      <c r="F26" s="16"/>
    </row>
    <row r="27" spans="1:6">
      <c r="A27" s="16"/>
      <c r="B27" s="16"/>
      <c r="C27" s="16"/>
      <c r="E27" s="16"/>
      <c r="F27" s="16"/>
    </row>
    <row r="28" spans="1:6">
      <c r="A28" s="16"/>
      <c r="B28" s="16"/>
      <c r="C28" s="16"/>
      <c r="E28" s="16"/>
      <c r="F28" s="16"/>
    </row>
    <row r="29" spans="1:6">
      <c r="A29" s="16"/>
      <c r="B29" s="16"/>
      <c r="C29" s="16"/>
      <c r="E29" s="16"/>
      <c r="F29" s="16"/>
    </row>
    <row r="30" spans="1:6">
      <c r="A30" s="16"/>
      <c r="B30" s="16"/>
      <c r="C30" s="16"/>
      <c r="E30" s="16"/>
      <c r="F30" s="16"/>
    </row>
    <row r="31" spans="1:6">
      <c r="A31" s="16"/>
      <c r="B31" s="16"/>
      <c r="C31" s="16"/>
      <c r="E31" s="16"/>
      <c r="F31" s="16"/>
    </row>
    <row r="32" spans="1:6">
      <c r="A32" s="16"/>
      <c r="B32" s="16"/>
      <c r="C32" s="16"/>
      <c r="E32" s="16"/>
      <c r="F32" s="16"/>
    </row>
    <row r="33" spans="1:6">
      <c r="A33" s="16"/>
      <c r="B33" s="16"/>
      <c r="C33" s="16"/>
      <c r="E33" s="16"/>
      <c r="F33" s="16"/>
    </row>
    <row r="34" spans="1:6">
      <c r="A34" s="16"/>
      <c r="B34" s="16"/>
      <c r="C34" s="16"/>
      <c r="E34" s="16"/>
      <c r="F34" s="16"/>
    </row>
    <row r="35" spans="1:6">
      <c r="A35" s="16"/>
      <c r="B35" s="16"/>
      <c r="C35" s="16"/>
      <c r="E35" s="16"/>
      <c r="F35" s="16"/>
    </row>
    <row r="36" spans="1:6">
      <c r="A36" s="16"/>
      <c r="B36" s="16"/>
      <c r="C36" s="16"/>
      <c r="E36" s="16"/>
      <c r="F36" s="16"/>
    </row>
    <row r="37" spans="1:6">
      <c r="A37" s="16"/>
      <c r="B37" s="16"/>
      <c r="C37" s="16"/>
      <c r="E37" s="16"/>
      <c r="F37" s="16"/>
    </row>
    <row r="38" spans="1:6">
      <c r="A38" s="16"/>
      <c r="B38" s="16"/>
      <c r="C38" s="16"/>
      <c r="E38" s="16"/>
      <c r="F38" s="16"/>
    </row>
    <row r="39" spans="1:6">
      <c r="A39" s="16"/>
      <c r="B39" s="16"/>
      <c r="C39" s="16"/>
      <c r="E39" s="16"/>
      <c r="F39" s="16"/>
    </row>
    <row r="40" spans="1:6">
      <c r="A40" s="16"/>
      <c r="B40" s="16"/>
      <c r="C40" s="16"/>
      <c r="E40" s="16"/>
      <c r="F40" s="16"/>
    </row>
    <row r="41" spans="1:6">
      <c r="A41" s="16"/>
      <c r="B41" s="16"/>
      <c r="C41" s="16"/>
      <c r="E41" s="16"/>
      <c r="F41" s="16"/>
    </row>
    <row r="42" spans="1:6">
      <c r="A42" s="16"/>
      <c r="B42" s="16"/>
      <c r="C42" s="16"/>
      <c r="E42" s="16"/>
      <c r="F42" s="16"/>
    </row>
    <row r="43" spans="1:6">
      <c r="A43" s="16"/>
      <c r="B43" s="16"/>
      <c r="C43" s="16"/>
      <c r="E43" s="16"/>
      <c r="F43" s="16"/>
    </row>
    <row r="44" spans="1:6">
      <c r="A44" s="16"/>
      <c r="B44" s="16"/>
      <c r="C44" s="16"/>
      <c r="E44" s="16"/>
      <c r="F44" s="16"/>
    </row>
    <row r="45" spans="1:6">
      <c r="A45" s="16"/>
      <c r="B45" s="16"/>
      <c r="C45" s="16"/>
      <c r="E45" s="16"/>
      <c r="F45" s="16"/>
    </row>
    <row r="46" spans="1:6">
      <c r="A46" s="16"/>
      <c r="B46" s="16"/>
      <c r="C46" s="16"/>
      <c r="E46" s="16"/>
      <c r="F46" s="16"/>
    </row>
    <row r="47" spans="1:6">
      <c r="A47" s="16"/>
      <c r="B47" s="16"/>
      <c r="C47" s="16"/>
      <c r="E47" s="16"/>
      <c r="F47" s="1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COMPRAS 2026</vt:lpstr>
      <vt:lpstr>OLEOS VEGETAIS</vt:lpstr>
      <vt:lpstr>ADITIVOS FILTROS E LUBRIF</vt:lpstr>
      <vt:lpstr>CORREIAS-BATERIAS</vt:lpstr>
      <vt:lpstr>FILTROS EM ESTOQUE</vt:lpstr>
      <vt:lpstr>DIESEL</vt:lpstr>
      <vt:lpstr>G28-CSUL</vt:lpstr>
      <vt:lpstr>CONSTRUÇÃO</vt:lpstr>
      <vt:lpstr>HIDRAULICOS-PVC</vt:lpstr>
      <vt:lpstr>TELHAS E PERFILS</vt:lpstr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MINASFALTO TAPFÁCIL</dc:creator>
  <cp:lastModifiedBy>Minasfalto Indústria e Comércio</cp:lastModifiedBy>
  <cp:lastPrinted>2026-04-23T12:24:11Z</cp:lastPrinted>
  <dcterms:created xsi:type="dcterms:W3CDTF">2025-10-27T19:12:51Z</dcterms:created>
  <dcterms:modified xsi:type="dcterms:W3CDTF">2026-08-21T18:26:11Z</dcterms:modified>
</cp:coreProperties>
</file>